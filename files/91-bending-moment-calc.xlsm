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AA2E" lockStructure="1"/>
  <bookViews>
    <workbookView xWindow="120" yWindow="120" windowWidth="20115" windowHeight="11820"/>
  </bookViews>
  <sheets>
    <sheet name="Sheet1" sheetId="1" r:id="rId1"/>
  </sheets>
  <calcPr calcId="145621"/>
</workbook>
</file>

<file path=xl/calcChain.xml><?xml version="1.0" encoding="utf-8"?>
<calcChain xmlns="http://schemas.openxmlformats.org/spreadsheetml/2006/main">
  <c r="H76" i="1" l="1"/>
  <c r="J75" i="1"/>
  <c r="H72" i="1"/>
  <c r="J71" i="1"/>
  <c r="I64" i="1"/>
  <c r="K54" i="1"/>
  <c r="K50" i="1"/>
  <c r="I45" i="1"/>
  <c r="J44" i="1"/>
  <c r="E44" i="1"/>
  <c r="I41" i="1"/>
  <c r="J40" i="1"/>
  <c r="I38" i="1"/>
  <c r="E38" i="1"/>
  <c r="E25" i="1" s="1"/>
  <c r="J37" i="1"/>
  <c r="K35" i="1"/>
  <c r="J35" i="1"/>
  <c r="E32" i="1"/>
  <c r="K31" i="1"/>
  <c r="E31" i="1"/>
  <c r="K30" i="1"/>
  <c r="K29" i="1"/>
  <c r="K27" i="1"/>
</calcChain>
</file>

<file path=xl/comments1.xml><?xml version="1.0" encoding="utf-8"?>
<comments xmlns="http://schemas.openxmlformats.org/spreadsheetml/2006/main">
  <authors>
    <author>Troupe David</author>
  </authors>
  <commentList>
    <comment ref="L29" author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 xml:space="preserve">
Refer to the Hydraulic pump information to select the smallest pump with a displacement of </t>
        </r>
        <r>
          <rPr>
            <b/>
            <sz val="9"/>
            <color indexed="81"/>
            <rFont val="Tahoma"/>
            <family val="2"/>
          </rPr>
          <t>D &gt; Dreq.</t>
        </r>
      </text>
    </comment>
  </commentList>
</comments>
</file>

<file path=xl/sharedStrings.xml><?xml version="1.0" encoding="utf-8"?>
<sst xmlns="http://schemas.openxmlformats.org/spreadsheetml/2006/main" count="331" uniqueCount="280">
  <si>
    <t>Customer</t>
  </si>
  <si>
    <t>Make Model:</t>
  </si>
  <si>
    <t>Contact Info</t>
  </si>
  <si>
    <t>Serial No. / VIN:</t>
  </si>
  <si>
    <t>First Name:</t>
  </si>
  <si>
    <t>Engine:</t>
  </si>
  <si>
    <t>Last Name:</t>
  </si>
  <si>
    <t>Transmission:</t>
  </si>
  <si>
    <t>Phone</t>
  </si>
  <si>
    <t>Equipment:</t>
  </si>
  <si>
    <t>E-Mail:</t>
  </si>
  <si>
    <t xml:space="preserve">Truck Application: </t>
  </si>
  <si>
    <t>Desired PTO Operation</t>
  </si>
  <si>
    <t>Allison Voc. Pkg:</t>
  </si>
  <si>
    <t>Number of PTO</t>
  </si>
  <si>
    <t>PTO ID</t>
  </si>
  <si>
    <t>Driveshaft PTO</t>
  </si>
  <si>
    <t>PTO Priority</t>
  </si>
  <si>
    <t>Clutch Dependent</t>
  </si>
  <si>
    <t>Engagement Requirements</t>
  </si>
  <si>
    <t>Drop Out Requirements</t>
  </si>
  <si>
    <t xml:space="preserve">Desired PTO Speed </t>
  </si>
  <si>
    <t>RPM</t>
  </si>
  <si>
    <t>Park Brake Applied</t>
  </si>
  <si>
    <t>Park Brake Released</t>
  </si>
  <si>
    <t>Minimum Engine Set Speed</t>
  </si>
  <si>
    <t>Clutch Released</t>
  </si>
  <si>
    <t>Clutch Pedal Pushed</t>
  </si>
  <si>
    <t xml:space="preserve">Maximum Engine Set Speed    </t>
  </si>
  <si>
    <t>Cruise Switch On</t>
  </si>
  <si>
    <t>Cruise Switch Off</t>
  </si>
  <si>
    <t xml:space="preserve">Minimum Road Speed </t>
  </si>
  <si>
    <t>MPH</t>
  </si>
  <si>
    <t>Disable TPS</t>
  </si>
  <si>
    <t xml:space="preserve">Maximum Road Speed  </t>
  </si>
  <si>
    <t>PTO Switch On</t>
  </si>
  <si>
    <t>PTO Switch Off</t>
  </si>
  <si>
    <t xml:space="preserve">Jump to Speed  </t>
  </si>
  <si>
    <t>Serv. Brake Released</t>
  </si>
  <si>
    <t>Serv. Brake Applied</t>
  </si>
  <si>
    <t>Miscellaneous Calculation</t>
  </si>
  <si>
    <t>Fill in white boxes with known data and Green boxes will populate with answer</t>
  </si>
  <si>
    <t xml:space="preserve">Constant Demands </t>
  </si>
  <si>
    <t>Engine Speed Requirements</t>
  </si>
  <si>
    <t>Power (HP)</t>
  </si>
  <si>
    <t>P=</t>
  </si>
  <si>
    <t>HP</t>
  </si>
  <si>
    <t>Required PTO Drive-line Speed</t>
  </si>
  <si>
    <t>Equipment Flow Demand</t>
  </si>
  <si>
    <t xml:space="preserve">Q= </t>
  </si>
  <si>
    <t>GPM</t>
  </si>
  <si>
    <t>PTO Speed Ratio</t>
  </si>
  <si>
    <t>%</t>
  </si>
  <si>
    <t>Selectable Variables</t>
  </si>
  <si>
    <t>Maximum pressure</t>
  </si>
  <si>
    <t>p=</t>
  </si>
  <si>
    <t>psi</t>
  </si>
  <si>
    <t>Engine Speed</t>
  </si>
  <si>
    <t>PTO Ratio</t>
  </si>
  <si>
    <t>Z=</t>
  </si>
  <si>
    <t>Ratio</t>
  </si>
  <si>
    <t xml:space="preserve">Pump Size </t>
  </si>
  <si>
    <t>D=</t>
  </si>
  <si>
    <t>cu.in. / rev.</t>
  </si>
  <si>
    <t>Pump Displacement Calculation</t>
  </si>
  <si>
    <t>D &gt; Dreq.</t>
  </si>
  <si>
    <t xml:space="preserve">Engine Working Speed </t>
  </si>
  <si>
    <t>Neng=</t>
  </si>
  <si>
    <t>Torque Calculation</t>
  </si>
  <si>
    <t>lb-ft</t>
  </si>
  <si>
    <t>Torque</t>
  </si>
  <si>
    <t>T=</t>
  </si>
  <si>
    <t>Power Calculation</t>
  </si>
  <si>
    <t>Maximum Pump Speed</t>
  </si>
  <si>
    <t>Np=</t>
  </si>
  <si>
    <t>Misc. Converters</t>
  </si>
  <si>
    <t>PTO HP Calculator</t>
  </si>
  <si>
    <t>cc/Rev</t>
  </si>
  <si>
    <t>cu in/Rev</t>
  </si>
  <si>
    <t>G/Rev</t>
  </si>
  <si>
    <t>To determine the PTO output HP at the required speed.</t>
  </si>
  <si>
    <t>Output Torque Rating</t>
  </si>
  <si>
    <t>Lbs. Ft.</t>
  </si>
  <si>
    <t>KPH</t>
  </si>
  <si>
    <t>PTO Drive-line Speed</t>
  </si>
  <si>
    <t xml:space="preserve">HP </t>
  </si>
  <si>
    <t>PSI</t>
  </si>
  <si>
    <t>KPA</t>
  </si>
  <si>
    <t>T</t>
  </si>
  <si>
    <t>P</t>
  </si>
  <si>
    <t xml:space="preserve">PTO Ratio (in decimals) </t>
  </si>
  <si>
    <t>Z</t>
  </si>
  <si>
    <t>Neng</t>
  </si>
  <si>
    <t>CFM</t>
  </si>
  <si>
    <t>m3/min</t>
  </si>
  <si>
    <t>Maximum Torque Permitted</t>
  </si>
  <si>
    <t>Tperm</t>
  </si>
  <si>
    <t>Blower Applications</t>
  </si>
  <si>
    <t>Pressure Requirements</t>
  </si>
  <si>
    <t>Cu.Ft. per Minute</t>
  </si>
  <si>
    <t>Vacuum</t>
  </si>
  <si>
    <t>In HG</t>
  </si>
  <si>
    <t>IN. HG</t>
  </si>
  <si>
    <t>Pump / PTO Speed</t>
  </si>
  <si>
    <t>Blower speed</t>
  </si>
  <si>
    <t>Pump /  PTO Speed</t>
  </si>
  <si>
    <t>Calculation of Pump Bending Moment</t>
  </si>
  <si>
    <t>Mb Bending moment at pump connection to power take-off (Nm)</t>
  </si>
  <si>
    <t>m Pump weight (kg)</t>
  </si>
  <si>
    <t>LBS</t>
  </si>
  <si>
    <t xml:space="preserve">g Standard gravity = 9.81 N/kg. </t>
  </si>
  <si>
    <t>A Distance between pump center of gravity an anchorage on Power Take Off (m)</t>
  </si>
  <si>
    <t>m</t>
  </si>
  <si>
    <t>(kg)</t>
  </si>
  <si>
    <t>g</t>
  </si>
  <si>
    <t>N/kg</t>
  </si>
  <si>
    <t>A</t>
  </si>
  <si>
    <t>(m)</t>
  </si>
  <si>
    <t>Bending Moment</t>
  </si>
  <si>
    <t>Nm</t>
  </si>
  <si>
    <t>PTO</t>
  </si>
  <si>
    <t>Maximum Bending Moment</t>
  </si>
  <si>
    <t>PTR</t>
  </si>
  <si>
    <t xml:space="preserve">40 Nm * </t>
  </si>
  <si>
    <t>PTRD</t>
  </si>
  <si>
    <t>40 Nm *</t>
  </si>
  <si>
    <t>Convert Nm to ft/lb and or convert ft/lb to Nm</t>
  </si>
  <si>
    <t>ft/lb</t>
  </si>
  <si>
    <t>Convert  lb to Kg and or Convert Kg to lb</t>
  </si>
  <si>
    <t>lb</t>
  </si>
  <si>
    <t>Kg</t>
  </si>
  <si>
    <t>Pick from List</t>
  </si>
  <si>
    <t>PTO 0</t>
  </si>
  <si>
    <t>Automated Side Loader (ASL)</t>
  </si>
  <si>
    <t>PTO 1</t>
  </si>
  <si>
    <t>Ambulance</t>
  </si>
  <si>
    <t>PTO 2</t>
  </si>
  <si>
    <t>Aerial Bucket Truck</t>
  </si>
  <si>
    <t>PTO 3</t>
  </si>
  <si>
    <t>Auger Post-hole digger</t>
  </si>
  <si>
    <t>PTO 4</t>
  </si>
  <si>
    <t>Crane Truck</t>
  </si>
  <si>
    <t xml:space="preserve"> </t>
  </si>
  <si>
    <t>Concrete Mobile Batch Mixer</t>
  </si>
  <si>
    <t>Yes</t>
  </si>
  <si>
    <t>Concrete Mixer</t>
  </si>
  <si>
    <t>No</t>
  </si>
  <si>
    <t>Concrete Pumper</t>
  </si>
  <si>
    <t xml:space="preserve">Defense / Military </t>
  </si>
  <si>
    <t>Dump Truck</t>
  </si>
  <si>
    <t>Line Painter</t>
  </si>
  <si>
    <t>1-2-3-4</t>
  </si>
  <si>
    <t>Oil Field Application</t>
  </si>
  <si>
    <t>2-3-4-1</t>
  </si>
  <si>
    <t>Refuse Front Loader</t>
  </si>
  <si>
    <t>3-4-1-2</t>
  </si>
  <si>
    <t>Refuse Rear Loader</t>
  </si>
  <si>
    <t>4-1-2-3</t>
  </si>
  <si>
    <t>Sewer / Vacuum</t>
  </si>
  <si>
    <t>Telebelts / Loop Belt</t>
  </si>
  <si>
    <t>Tow Truck</t>
  </si>
  <si>
    <t>Tractor with Pump or Blower</t>
  </si>
  <si>
    <t>Other</t>
  </si>
  <si>
    <t xml:space="preserve">Allison Transmission </t>
  </si>
  <si>
    <t>PTO Position</t>
  </si>
  <si>
    <t>3000 RDS</t>
  </si>
  <si>
    <t>side / side 4, 8 o'clock            top / side 1 and 8 o'clock</t>
  </si>
  <si>
    <t>B</t>
  </si>
  <si>
    <t>Bus Series</t>
  </si>
  <si>
    <t>3500 RDS</t>
  </si>
  <si>
    <t>EVS</t>
  </si>
  <si>
    <t>Emergency Vehicle Series</t>
  </si>
  <si>
    <t>4000 EVS</t>
  </si>
  <si>
    <t>1 and 8 o'clock</t>
  </si>
  <si>
    <t>HS</t>
  </si>
  <si>
    <t>Highway Series</t>
  </si>
  <si>
    <t>4000 HS</t>
  </si>
  <si>
    <t>No PTO Provision</t>
  </si>
  <si>
    <t>MH</t>
  </si>
  <si>
    <t>Motor Home Series</t>
  </si>
  <si>
    <t>4000 MH</t>
  </si>
  <si>
    <t>OFS</t>
  </si>
  <si>
    <t>Oil Fiels Series</t>
  </si>
  <si>
    <t>4000 ORS</t>
  </si>
  <si>
    <t>OFR</t>
  </si>
  <si>
    <t>Off Road Series</t>
  </si>
  <si>
    <t>4000 RDS</t>
  </si>
  <si>
    <t>RDS</t>
  </si>
  <si>
    <t>Rugged Duty Series</t>
  </si>
  <si>
    <t>4000 SP</t>
  </si>
  <si>
    <t>SP</t>
  </si>
  <si>
    <t>Specialty Series</t>
  </si>
  <si>
    <t>4000 TRV</t>
  </si>
  <si>
    <t>4430 OFS</t>
  </si>
  <si>
    <t>Base Model</t>
  </si>
  <si>
    <t>4500 EV</t>
  </si>
  <si>
    <t>Close Ratio Models</t>
  </si>
  <si>
    <t>4500 HS</t>
  </si>
  <si>
    <t>Wide Ratio Models</t>
  </si>
  <si>
    <t>4500 OFS</t>
  </si>
  <si>
    <t>4500 ORS</t>
  </si>
  <si>
    <t>4500 RDS</t>
  </si>
  <si>
    <t>Deep Ratio Models 7 Speed</t>
  </si>
  <si>
    <t>4500 SP</t>
  </si>
  <si>
    <t>4700 EVS</t>
  </si>
  <si>
    <t>4700 OFS</t>
  </si>
  <si>
    <t>4700 ORS</t>
  </si>
  <si>
    <t>4700 RDS</t>
  </si>
  <si>
    <t>4700 SP</t>
  </si>
  <si>
    <t>Eaton</t>
  </si>
  <si>
    <t xml:space="preserve">RTX-13609B                     </t>
  </si>
  <si>
    <t xml:space="preserve">RTX-14609B </t>
  </si>
  <si>
    <t xml:space="preserve">RTX-16709B  </t>
  </si>
  <si>
    <t xml:space="preserve">FRO-12210C </t>
  </si>
  <si>
    <t xml:space="preserve">FRO-13210B  </t>
  </si>
  <si>
    <t xml:space="preserve">FRO-13210C  </t>
  </si>
  <si>
    <t xml:space="preserve">FRO-14210B </t>
  </si>
  <si>
    <t xml:space="preserve">FRO-14210C   </t>
  </si>
  <si>
    <t xml:space="preserve">FRO-15210B    </t>
  </si>
  <si>
    <t xml:space="preserve">FRO-15210C </t>
  </si>
  <si>
    <t xml:space="preserve">FRO-16210B  </t>
  </si>
  <si>
    <t xml:space="preserve">FRO-16210C   </t>
  </si>
  <si>
    <t xml:space="preserve">FRO-18210C </t>
  </si>
  <si>
    <t>RTO-14908LL</t>
  </si>
  <si>
    <t xml:space="preserve">RTO-16908LL  </t>
  </si>
  <si>
    <t xml:space="preserve">FR-13210B  </t>
  </si>
  <si>
    <t>FR-14210B</t>
  </si>
  <si>
    <t xml:space="preserve">RTO-14910B-AS3  </t>
  </si>
  <si>
    <t xml:space="preserve">RTO-14910C-AS3 </t>
  </si>
  <si>
    <t>RTO-16910B-AS3</t>
  </si>
  <si>
    <t>RTO-16910C-AS3</t>
  </si>
  <si>
    <t xml:space="preserve">RTO-18910B-AS3 </t>
  </si>
  <si>
    <t>RTO-14910B-DM3</t>
  </si>
  <si>
    <t xml:space="preserve">RTO-16910B-DM3  </t>
  </si>
  <si>
    <t xml:space="preserve">RTO-14909ALL </t>
  </si>
  <si>
    <t>RTO-16909ALL</t>
  </si>
  <si>
    <t xml:space="preserve">RTLO-14913A </t>
  </si>
  <si>
    <t xml:space="preserve">RTLO-16913A  </t>
  </si>
  <si>
    <t xml:space="preserve">RTLO-18913A  </t>
  </si>
  <si>
    <t xml:space="preserve">RTLO-20913A </t>
  </si>
  <si>
    <t xml:space="preserve">RT-14915    </t>
  </si>
  <si>
    <t>RTO-14915</t>
  </si>
  <si>
    <t xml:space="preserve">RTO-16915  </t>
  </si>
  <si>
    <t xml:space="preserve">RTLO-14918A-AS3 </t>
  </si>
  <si>
    <t xml:space="preserve">RTLO-16918A-AS3   </t>
  </si>
  <si>
    <t xml:space="preserve">RTLO-14918B </t>
  </si>
  <si>
    <t xml:space="preserve">RTLO-16918B     </t>
  </si>
  <si>
    <t xml:space="preserve">RTLO-18918B  </t>
  </si>
  <si>
    <t xml:space="preserve">RTLO-20918B  </t>
  </si>
  <si>
    <t xml:space="preserve">RTLO-18918A-AS3 </t>
  </si>
  <si>
    <t xml:space="preserve">RTLO-20918A-AS3 </t>
  </si>
  <si>
    <t>Mack</t>
  </si>
  <si>
    <t xml:space="preserve">T306G      </t>
  </si>
  <si>
    <t xml:space="preserve">TM308          </t>
  </si>
  <si>
    <t xml:space="preserve">TM308M       </t>
  </si>
  <si>
    <t xml:space="preserve">TM309                </t>
  </si>
  <si>
    <t xml:space="preserve">TM309M         </t>
  </si>
  <si>
    <t xml:space="preserve">T309              </t>
  </si>
  <si>
    <t xml:space="preserve">T309LR      </t>
  </si>
  <si>
    <t xml:space="preserve">T310        </t>
  </si>
  <si>
    <t xml:space="preserve">T310M     </t>
  </si>
  <si>
    <t xml:space="preserve">T310ME    </t>
  </si>
  <si>
    <t xml:space="preserve">T310ME21     </t>
  </si>
  <si>
    <t xml:space="preserve">T310MLR       </t>
  </si>
  <si>
    <t xml:space="preserve">T313   </t>
  </si>
  <si>
    <t xml:space="preserve">T313 LR   </t>
  </si>
  <si>
    <t xml:space="preserve">T313 LR  21     </t>
  </si>
  <si>
    <t xml:space="preserve">T318      </t>
  </si>
  <si>
    <t xml:space="preserve">T318LR      </t>
  </si>
  <si>
    <t xml:space="preserve">T318LR  21    </t>
  </si>
  <si>
    <t xml:space="preserve">T31821       </t>
  </si>
  <si>
    <t>TMD13AFD-HD</t>
  </si>
  <si>
    <t>TMD13AFO-HD</t>
  </si>
  <si>
    <t>TMD14AFO-HD</t>
  </si>
  <si>
    <r>
      <t>T</t>
    </r>
    <r>
      <rPr>
        <i/>
        <sz val="11"/>
        <color theme="1"/>
        <rFont val="Times New Roman"/>
        <family val="1"/>
      </rPr>
      <t>m</t>
    </r>
    <r>
      <rPr>
        <sz val="11"/>
        <color theme="1"/>
        <rFont val="Calibri"/>
        <family val="2"/>
        <scheme val="minor"/>
      </rPr>
      <t xml:space="preserve">D12AD      </t>
    </r>
  </si>
  <si>
    <r>
      <t>T</t>
    </r>
    <r>
      <rPr>
        <i/>
        <sz val="11"/>
        <color theme="1"/>
        <rFont val="Times New Roman"/>
        <family val="1"/>
      </rPr>
      <t>m</t>
    </r>
    <r>
      <rPr>
        <sz val="11"/>
        <color theme="1"/>
        <rFont val="Calibri"/>
        <family val="2"/>
        <scheme val="minor"/>
      </rPr>
      <t xml:space="preserve">D12AO       </t>
    </r>
  </si>
  <si>
    <t>Misc. Power Take-Off  Calculations</t>
  </si>
  <si>
    <t>Misc_PTO_CALC</t>
  </si>
  <si>
    <r>
      <t xml:space="preserve">Available </t>
    </r>
    <r>
      <rPr>
        <b/>
        <i/>
        <sz val="11"/>
        <color theme="1"/>
        <rFont val="Calibri"/>
        <family val="2"/>
        <scheme val="minor"/>
      </rPr>
      <t>m</t>
    </r>
    <r>
      <rPr>
        <b/>
        <sz val="11"/>
        <color theme="1"/>
        <rFont val="Calibri"/>
        <family val="2"/>
        <scheme val="minor"/>
      </rPr>
      <t>Drive PTO Ratios</t>
    </r>
  </si>
  <si>
    <t>V9.1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</si>
</sst>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&lt;=9999999]###\-####;\(###\)\ ###\-####"/>
    <numFmt numFmtId="165" formatCode="0.0"/>
    <numFmt numFmtId="166" formatCode="0.00000"/>
    <numFmt numFmtId="167" formatCode="0.0000"/>
    <numFmt numFmtId="168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theme="1"/>
      <name val="Times New Roman"/>
      <family val="1"/>
    </font>
    <font>
      <b/>
      <i/>
      <sz val="12"/>
      <color theme="1"/>
      <name val="Times New Roman"/>
      <family val="1"/>
    </font>
    <font>
      <u/>
      <sz val="11"/>
      <color theme="10"/>
      <name val="Times New Roman"/>
      <family val="2"/>
    </font>
    <font>
      <sz val="12"/>
      <color theme="1"/>
      <name val="Times New Roman"/>
      <family val="2"/>
    </font>
    <font>
      <b/>
      <i/>
      <u/>
      <sz val="14"/>
      <color theme="1"/>
      <name val="Times New Roman"/>
      <family val="1"/>
    </font>
    <font>
      <b/>
      <sz val="11"/>
      <color theme="1"/>
      <name val="Times New Roman"/>
      <family val="1"/>
    </font>
    <font>
      <b/>
      <i/>
      <sz val="14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theme="1"/>
      <name val="Times New Roman"/>
      <family val="2"/>
    </font>
    <font>
      <sz val="11"/>
      <color theme="1"/>
      <name val="Times New Roman"/>
      <family val="2"/>
    </font>
    <font>
      <sz val="11"/>
      <color theme="1"/>
      <name val="Times New Roman"/>
      <family val="1"/>
    </font>
    <font>
      <b/>
      <i/>
      <sz val="11"/>
      <color rgb="FFFF0000"/>
      <name val="Times New Roman"/>
      <family val="1"/>
    </font>
    <font>
      <sz val="11"/>
      <color indexed="8"/>
      <name val="Times New Roman"/>
      <family val="2"/>
    </font>
    <font>
      <b/>
      <i/>
      <sz val="11"/>
      <color theme="1"/>
      <name val="Times New Roman"/>
      <family val="1"/>
    </font>
    <font>
      <i/>
      <sz val="11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9950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rgb="FF00B050"/>
        <bgColor indexed="64"/>
      </patternFill>
    </fill>
  </fills>
  <borders count="1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29">
    <xf numFmtId="0" fontId="0" fillId="0" borderId="0" xfId="0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3" borderId="6" xfId="0" applyFill="1" applyBorder="1" applyAlignment="1" applyProtection="1">
      <protection locked="0"/>
    </xf>
    <xf numFmtId="0" fontId="4" fillId="2" borderId="0" xfId="1" applyFill="1" applyBorder="1" applyAlignment="1" applyProtection="1">
      <protection locked="0"/>
    </xf>
    <xf numFmtId="0" fontId="5" fillId="2" borderId="0" xfId="0" applyFont="1" applyFill="1" applyAlignment="1">
      <alignment horizontal="right"/>
    </xf>
    <xf numFmtId="0" fontId="0" fillId="0" borderId="7" xfId="0" applyBorder="1" applyProtection="1">
      <protection locked="0"/>
    </xf>
    <xf numFmtId="0" fontId="0" fillId="2" borderId="0" xfId="0" applyFill="1" applyBorder="1" applyAlignment="1" applyProtection="1">
      <protection locked="0"/>
    </xf>
    <xf numFmtId="0" fontId="3" fillId="2" borderId="0" xfId="0" applyFont="1" applyFill="1" applyBorder="1"/>
    <xf numFmtId="0" fontId="5" fillId="2" borderId="0" xfId="0" applyFont="1" applyFill="1" applyBorder="1" applyAlignment="1">
      <alignment horizontal="right"/>
    </xf>
    <xf numFmtId="0" fontId="0" fillId="3" borderId="0" xfId="0" applyFill="1" applyBorder="1" applyAlignment="1" applyProtection="1">
      <protection locked="0"/>
    </xf>
    <xf numFmtId="0" fontId="0" fillId="2" borderId="6" xfId="0" applyFill="1" applyBorder="1" applyAlignment="1" applyProtection="1">
      <protection locked="0"/>
    </xf>
    <xf numFmtId="0" fontId="0" fillId="2" borderId="6" xfId="0" applyFill="1" applyBorder="1" applyAlignment="1">
      <alignment horizontal="center"/>
    </xf>
    <xf numFmtId="0" fontId="6" fillId="2" borderId="0" xfId="0" applyFont="1" applyFill="1" applyBorder="1"/>
    <xf numFmtId="0" fontId="0" fillId="2" borderId="0" xfId="0" applyFill="1" applyBorder="1" applyAlignment="1">
      <alignment horizontal="right"/>
    </xf>
    <xf numFmtId="0" fontId="0" fillId="2" borderId="0" xfId="0" applyFill="1" applyBorder="1" applyAlignment="1">
      <alignment horizontal="right" vertical="center"/>
    </xf>
    <xf numFmtId="0" fontId="7" fillId="2" borderId="0" xfId="0" applyFont="1" applyFill="1" applyBorder="1"/>
    <xf numFmtId="0" fontId="0" fillId="3" borderId="6" xfId="0" applyFill="1" applyBorder="1" applyAlignment="1" applyProtection="1">
      <alignment horizontal="right"/>
      <protection locked="0"/>
    </xf>
    <xf numFmtId="0" fontId="0" fillId="2" borderId="0" xfId="0" applyFill="1" applyBorder="1" applyAlignment="1"/>
    <xf numFmtId="0" fontId="0" fillId="3" borderId="7" xfId="0" applyFill="1" applyBorder="1" applyProtection="1">
      <protection locked="0"/>
    </xf>
    <xf numFmtId="0" fontId="0" fillId="3" borderId="6" xfId="0" applyFill="1" applyBorder="1" applyProtection="1">
      <protection locked="0"/>
    </xf>
    <xf numFmtId="0" fontId="0" fillId="2" borderId="0" xfId="0" applyFill="1" applyBorder="1" applyAlignment="1">
      <alignment horizontal="left"/>
    </xf>
    <xf numFmtId="0" fontId="0" fillId="3" borderId="7" xfId="0" applyFill="1" applyBorder="1" applyAlignment="1" applyProtection="1">
      <alignment horizontal="right"/>
      <protection locked="0"/>
    </xf>
    <xf numFmtId="0" fontId="0" fillId="2" borderId="0" xfId="0" applyFont="1" applyFill="1" applyBorder="1" applyAlignment="1">
      <alignment horizontal="center"/>
    </xf>
    <xf numFmtId="0" fontId="0" fillId="2" borderId="0" xfId="0" applyFont="1" applyFill="1" applyBorder="1"/>
    <xf numFmtId="0" fontId="6" fillId="2" borderId="0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center"/>
    </xf>
    <xf numFmtId="1" fontId="5" fillId="4" borderId="6" xfId="0" applyNumberFormat="1" applyFont="1" applyFill="1" applyBorder="1" applyProtection="1"/>
    <xf numFmtId="0" fontId="9" fillId="2" borderId="0" xfId="0" applyFont="1" applyFill="1" applyBorder="1"/>
    <xf numFmtId="1" fontId="0" fillId="3" borderId="6" xfId="0" applyNumberFormat="1" applyFill="1" applyBorder="1" applyProtection="1">
      <protection locked="0"/>
    </xf>
    <xf numFmtId="0" fontId="5" fillId="2" borderId="0" xfId="0" applyFont="1" applyFill="1" applyBorder="1" applyAlignment="1">
      <alignment horizontal="left"/>
    </xf>
    <xf numFmtId="0" fontId="5" fillId="3" borderId="6" xfId="0" applyFont="1" applyFill="1" applyBorder="1" applyProtection="1">
      <protection locked="0"/>
    </xf>
    <xf numFmtId="2" fontId="0" fillId="3" borderId="6" xfId="0" applyNumberFormat="1" applyFill="1" applyBorder="1" applyProtection="1">
      <protection locked="0"/>
    </xf>
    <xf numFmtId="0" fontId="5" fillId="2" borderId="0" xfId="0" applyFont="1" applyFill="1" applyBorder="1"/>
    <xf numFmtId="1" fontId="7" fillId="4" borderId="0" xfId="0" applyNumberFormat="1" applyFont="1" applyFill="1" applyBorder="1"/>
    <xf numFmtId="1" fontId="9" fillId="4" borderId="0" xfId="0" applyNumberFormat="1" applyFont="1" applyFill="1" applyBorder="1" applyAlignment="1"/>
    <xf numFmtId="1" fontId="5" fillId="3" borderId="6" xfId="0" applyNumberFormat="1" applyFont="1" applyFill="1" applyBorder="1" applyProtection="1">
      <protection locked="0"/>
    </xf>
    <xf numFmtId="165" fontId="7" fillId="4" borderId="0" xfId="0" applyNumberFormat="1" applyFont="1" applyFill="1" applyBorder="1"/>
    <xf numFmtId="0" fontId="7" fillId="2" borderId="0" xfId="0" applyFont="1" applyFill="1" applyBorder="1" applyAlignment="1">
      <alignment horizontal="center"/>
    </xf>
    <xf numFmtId="165" fontId="0" fillId="4" borderId="7" xfId="0" applyNumberFormat="1" applyFill="1" applyBorder="1" applyProtection="1"/>
    <xf numFmtId="1" fontId="0" fillId="4" borderId="7" xfId="0" applyNumberFormat="1" applyFill="1" applyBorder="1"/>
    <xf numFmtId="0" fontId="7" fillId="2" borderId="0" xfId="0" applyFont="1" applyFill="1" applyBorder="1" applyAlignment="1"/>
    <xf numFmtId="0" fontId="8" fillId="2" borderId="0" xfId="0" applyFont="1" applyFill="1" applyBorder="1"/>
    <xf numFmtId="0" fontId="7" fillId="2" borderId="6" xfId="0" applyFont="1" applyFill="1" applyBorder="1" applyAlignment="1">
      <alignment horizontal="center"/>
    </xf>
    <xf numFmtId="0" fontId="0" fillId="3" borderId="7" xfId="0" applyFill="1" applyBorder="1" applyAlignment="1" applyProtection="1">
      <alignment horizontal="center"/>
      <protection locked="0"/>
    </xf>
    <xf numFmtId="1" fontId="0" fillId="2" borderId="0" xfId="0" applyNumberForma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0" fontId="0" fillId="3" borderId="6" xfId="0" applyFill="1" applyBorder="1" applyAlignment="1" applyProtection="1">
      <alignment horizontal="center"/>
      <protection locked="0"/>
    </xf>
    <xf numFmtId="2" fontId="0" fillId="4" borderId="0" xfId="0" applyNumberFormat="1" applyFill="1" applyBorder="1"/>
    <xf numFmtId="1" fontId="9" fillId="4" borderId="0" xfId="0" applyNumberFormat="1" applyFont="1" applyFill="1" applyBorder="1"/>
    <xf numFmtId="0" fontId="10" fillId="2" borderId="0" xfId="0" applyFont="1" applyFill="1" applyBorder="1"/>
    <xf numFmtId="0" fontId="7" fillId="2" borderId="0" xfId="0" applyFont="1" applyFill="1" applyAlignment="1">
      <alignment horizontal="center"/>
    </xf>
    <xf numFmtId="0" fontId="5" fillId="2" borderId="0" xfId="0" applyFont="1" applyFill="1"/>
    <xf numFmtId="0" fontId="0" fillId="2" borderId="0" xfId="0" applyFill="1"/>
    <xf numFmtId="0" fontId="5" fillId="2" borderId="0" xfId="0" applyFont="1" applyFill="1" applyBorder="1" applyAlignment="1"/>
    <xf numFmtId="165" fontId="0" fillId="4" borderId="7" xfId="0" applyNumberFormat="1" applyFill="1" applyBorder="1"/>
    <xf numFmtId="166" fontId="0" fillId="5" borderId="0" xfId="0" applyNumberFormat="1" applyFill="1" applyBorder="1"/>
    <xf numFmtId="0" fontId="0" fillId="6" borderId="0" xfId="0" applyFill="1" applyBorder="1"/>
    <xf numFmtId="0" fontId="0" fillId="6" borderId="8" xfId="0" applyFill="1" applyBorder="1"/>
    <xf numFmtId="1" fontId="0" fillId="4" borderId="0" xfId="0" applyNumberFormat="1" applyFill="1" applyBorder="1"/>
    <xf numFmtId="0" fontId="5" fillId="6" borderId="0" xfId="0" applyFont="1" applyFill="1" applyBorder="1"/>
    <xf numFmtId="0" fontId="5" fillId="3" borderId="7" xfId="0" applyFont="1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7" xfId="0" applyFill="1" applyBorder="1" applyProtection="1">
      <protection locked="0"/>
    </xf>
    <xf numFmtId="0" fontId="0" fillId="7" borderId="0" xfId="0" applyFill="1" applyBorder="1"/>
    <xf numFmtId="0" fontId="5" fillId="6" borderId="0" xfId="0" applyFont="1" applyFill="1" applyBorder="1" applyAlignment="1"/>
    <xf numFmtId="0" fontId="4" fillId="6" borderId="0" xfId="1" applyFill="1" applyBorder="1" applyAlignment="1" applyProtection="1">
      <protection locked="0"/>
    </xf>
    <xf numFmtId="0" fontId="0" fillId="6" borderId="0" xfId="0" applyFill="1" applyBorder="1" applyAlignment="1"/>
    <xf numFmtId="0" fontId="4" fillId="2" borderId="0" xfId="1" applyFill="1" applyBorder="1" applyProtection="1">
      <protection locked="0"/>
    </xf>
    <xf numFmtId="0" fontId="0" fillId="6" borderId="0" xfId="0" applyFont="1" applyFill="1" applyBorder="1" applyAlignment="1"/>
    <xf numFmtId="0" fontId="7" fillId="2" borderId="0" xfId="0" applyFont="1" applyFill="1" applyBorder="1" applyAlignment="1">
      <alignment horizontal="right"/>
    </xf>
    <xf numFmtId="0" fontId="0" fillId="3" borderId="0" xfId="0" applyFill="1" applyBorder="1" applyProtection="1">
      <protection locked="0"/>
    </xf>
    <xf numFmtId="0" fontId="0" fillId="2" borderId="0" xfId="0" applyFill="1" applyBorder="1" applyProtection="1">
      <protection locked="0"/>
    </xf>
    <xf numFmtId="167" fontId="0" fillId="2" borderId="0" xfId="0" applyNumberFormat="1" applyFill="1" applyBorder="1"/>
    <xf numFmtId="0" fontId="0" fillId="4" borderId="0" xfId="0" applyFill="1" applyBorder="1"/>
    <xf numFmtId="2" fontId="0" fillId="2" borderId="0" xfId="0" applyNumberFormat="1" applyFill="1" applyBorder="1"/>
    <xf numFmtId="0" fontId="12" fillId="2" borderId="0" xfId="0" applyFont="1" applyFill="1"/>
    <xf numFmtId="0" fontId="14" fillId="2" borderId="0" xfId="0" applyFont="1" applyFill="1" applyBorder="1"/>
    <xf numFmtId="0" fontId="14" fillId="2" borderId="0" xfId="0" applyFont="1" applyFill="1"/>
    <xf numFmtId="0" fontId="15" fillId="6" borderId="0" xfId="0" applyFont="1" applyFill="1" applyBorder="1" applyAlignment="1"/>
    <xf numFmtId="0" fontId="0" fillId="0" borderId="0" xfId="0" applyProtection="1">
      <protection locked="0"/>
    </xf>
    <xf numFmtId="0" fontId="0" fillId="4" borderId="0" xfId="0" applyFill="1" applyBorder="1" applyAlignment="1">
      <alignment horizontal="right"/>
    </xf>
    <xf numFmtId="0" fontId="0" fillId="4" borderId="0" xfId="0" applyFill="1" applyProtection="1"/>
    <xf numFmtId="0" fontId="0" fillId="0" borderId="0" xfId="0" applyFill="1" applyProtection="1">
      <protection locked="0"/>
    </xf>
    <xf numFmtId="0" fontId="15" fillId="2" borderId="0" xfId="0" applyFont="1" applyFill="1" applyAlignment="1"/>
    <xf numFmtId="0" fontId="7" fillId="2" borderId="0" xfId="0" applyFont="1" applyFill="1" applyAlignment="1"/>
    <xf numFmtId="168" fontId="0" fillId="5" borderId="0" xfId="0" applyNumberFormat="1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/>
    <xf numFmtId="0" fontId="0" fillId="2" borderId="0" xfId="0" applyFill="1" applyBorder="1" applyAlignment="1">
      <alignment horizontal="center"/>
    </xf>
    <xf numFmtId="0" fontId="0" fillId="6" borderId="0" xfId="0" applyFont="1" applyFill="1" applyBorder="1" applyAlignment="1" applyProtection="1"/>
    <xf numFmtId="0" fontId="0" fillId="2" borderId="0" xfId="0" applyFill="1" applyBorder="1" applyProtection="1"/>
    <xf numFmtId="0" fontId="3" fillId="2" borderId="0" xfId="0" applyFont="1" applyFill="1" applyBorder="1" applyAlignment="1">
      <alignment horizontal="right"/>
    </xf>
    <xf numFmtId="165" fontId="0" fillId="3" borderId="0" xfId="0" applyNumberFormat="1" applyFill="1" applyProtection="1">
      <protection locked="0"/>
    </xf>
    <xf numFmtId="1" fontId="0" fillId="3" borderId="7" xfId="0" applyNumberFormat="1" applyFill="1" applyBorder="1" applyProtection="1">
      <protection locked="0"/>
    </xf>
    <xf numFmtId="2" fontId="0" fillId="3" borderId="7" xfId="0" applyNumberFormat="1" applyFill="1" applyBorder="1" applyProtection="1">
      <protection locked="0"/>
    </xf>
    <xf numFmtId="1" fontId="11" fillId="3" borderId="7" xfId="1" applyNumberFormat="1" applyFont="1" applyFill="1" applyBorder="1" applyProtection="1">
      <protection locked="0"/>
    </xf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6" borderId="0" xfId="0" applyFont="1" applyFill="1" applyBorder="1" applyAlignment="1">
      <alignment horizontal="center"/>
    </xf>
    <xf numFmtId="0" fontId="0" fillId="2" borderId="0" xfId="0" applyFill="1" applyBorder="1" applyAlignment="1" applyProtection="1">
      <alignment horizontal="center"/>
      <protection locked="0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8" fillId="6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13" fillId="3" borderId="9" xfId="0" applyFont="1" applyFill="1" applyBorder="1" applyAlignment="1">
      <alignment horizontal="center"/>
    </xf>
    <xf numFmtId="0" fontId="0" fillId="2" borderId="0" xfId="0" applyFill="1"/>
    <xf numFmtId="0" fontId="0" fillId="2" borderId="0" xfId="0" applyFill="1" applyBorder="1" applyAlignment="1">
      <alignment horizontal="right"/>
    </xf>
    <xf numFmtId="0" fontId="8" fillId="2" borderId="0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49" fontId="0" fillId="3" borderId="6" xfId="0" applyNumberFormat="1" applyFill="1" applyBorder="1" applyAlignment="1" applyProtection="1">
      <alignment horizontal="center"/>
      <protection locked="0"/>
    </xf>
    <xf numFmtId="49" fontId="0" fillId="3" borderId="7" xfId="0" applyNumberFormat="1" applyFill="1" applyBorder="1" applyAlignment="1" applyProtection="1">
      <alignment horizontal="center"/>
      <protection locked="0"/>
    </xf>
    <xf numFmtId="164" fontId="0" fillId="3" borderId="7" xfId="0" applyNumberFormat="1" applyFill="1" applyBorder="1" applyAlignment="1" applyProtection="1">
      <alignment horizontal="center"/>
      <protection locked="0"/>
    </xf>
    <xf numFmtId="49" fontId="4" fillId="3" borderId="6" xfId="1" applyNumberFormat="1" applyFill="1" applyBorder="1" applyAlignment="1" applyProtection="1">
      <alignment horizontal="center"/>
      <protection locked="0"/>
    </xf>
    <xf numFmtId="0" fontId="0" fillId="3" borderId="6" xfId="0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4" dropStyle="combo" dx="16" fmlaRange="B511:B516" sel="0" val="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Drop" dropStyle="combo" dx="16" fmlaRange="B523:B527" sel="5" val="0"/>
</file>

<file path=xl/ctrlProps/ctrlProp4.xml><?xml version="1.0" encoding="utf-8"?>
<formControlPr xmlns="http://schemas.microsoft.com/office/spreadsheetml/2009/9/main" objectType="Drop" dropStyle="combo" dx="16" fmlaRange="A512:A516" sel="0" val="0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Drop" dropStyle="combo" dx="16" fmlaRange="$C$511:$C$530" sel="0" val="0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Drop" dropStyle="combo" dx="16" fmlaRange="$C$532:$C$626" sel="0" val="0"/>
</file>

<file path=xl/ctrlProps/ctrlProp19.xml><?xml version="1.0" encoding="utf-8"?>
<formControlPr xmlns="http://schemas.microsoft.com/office/spreadsheetml/2009/9/main" objectType="Drop" dropStyle="combo" dx="16" fmlaRange="$E$556:$E$567" sel="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</xdr:row>
          <xdr:rowOff>0</xdr:rowOff>
        </xdr:from>
        <xdr:to>
          <xdr:col>2</xdr:col>
          <xdr:colOff>609600</xdr:colOff>
          <xdr:row>12</xdr:row>
          <xdr:rowOff>9525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1019175</xdr:colOff>
          <xdr:row>10</xdr:row>
          <xdr:rowOff>171450</xdr:rowOff>
        </xdr:from>
        <xdr:to>
          <xdr:col>5</xdr:col>
          <xdr:colOff>114300</xdr:colOff>
          <xdr:row>12</xdr:row>
          <xdr:rowOff>28575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904875</xdr:colOff>
          <xdr:row>11</xdr:row>
          <xdr:rowOff>9525</xdr:rowOff>
        </xdr:from>
        <xdr:to>
          <xdr:col>7</xdr:col>
          <xdr:colOff>342900</xdr:colOff>
          <xdr:row>12</xdr:row>
          <xdr:rowOff>19050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238125</xdr:rowOff>
        </xdr:from>
        <xdr:to>
          <xdr:col>2</xdr:col>
          <xdr:colOff>495300</xdr:colOff>
          <xdr:row>10</xdr:row>
          <xdr:rowOff>171450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38100</xdr:rowOff>
        </xdr:from>
        <xdr:to>
          <xdr:col>2</xdr:col>
          <xdr:colOff>314325</xdr:colOff>
          <xdr:row>13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5</xdr:col>
          <xdr:colOff>304800</xdr:colOff>
          <xdr:row>14</xdr:row>
          <xdr:rowOff>9525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180975</xdr:rowOff>
        </xdr:from>
        <xdr:to>
          <xdr:col>5</xdr:col>
          <xdr:colOff>314325</xdr:colOff>
          <xdr:row>15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15</xdr:row>
          <xdr:rowOff>180975</xdr:rowOff>
        </xdr:from>
        <xdr:to>
          <xdr:col>5</xdr:col>
          <xdr:colOff>314325</xdr:colOff>
          <xdr:row>17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180975</xdr:rowOff>
        </xdr:from>
        <xdr:to>
          <xdr:col>5</xdr:col>
          <xdr:colOff>314325</xdr:colOff>
          <xdr:row>16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13</xdr:row>
          <xdr:rowOff>0</xdr:rowOff>
        </xdr:from>
        <xdr:to>
          <xdr:col>7</xdr:col>
          <xdr:colOff>314325</xdr:colOff>
          <xdr:row>14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13</xdr:row>
          <xdr:rowOff>171450</xdr:rowOff>
        </xdr:from>
        <xdr:to>
          <xdr:col>7</xdr:col>
          <xdr:colOff>314325</xdr:colOff>
          <xdr:row>15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9525</xdr:rowOff>
        </xdr:from>
        <xdr:to>
          <xdr:col>7</xdr:col>
          <xdr:colOff>314325</xdr:colOff>
          <xdr:row>16</xdr:row>
          <xdr:rowOff>28575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9525</xdr:rowOff>
        </xdr:from>
        <xdr:to>
          <xdr:col>3</xdr:col>
          <xdr:colOff>0</xdr:colOff>
          <xdr:row>8</xdr:row>
          <xdr:rowOff>190500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9525</xdr:rowOff>
        </xdr:from>
        <xdr:to>
          <xdr:col>7</xdr:col>
          <xdr:colOff>314325</xdr:colOff>
          <xdr:row>18</xdr:row>
          <xdr:rowOff>28575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17</xdr:row>
          <xdr:rowOff>9525</xdr:rowOff>
        </xdr:from>
        <xdr:to>
          <xdr:col>5</xdr:col>
          <xdr:colOff>314325</xdr:colOff>
          <xdr:row>18</xdr:row>
          <xdr:rowOff>28575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9525</xdr:rowOff>
        </xdr:from>
        <xdr:to>
          <xdr:col>7</xdr:col>
          <xdr:colOff>314325</xdr:colOff>
          <xdr:row>19</xdr:row>
          <xdr:rowOff>28575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18</xdr:row>
          <xdr:rowOff>9525</xdr:rowOff>
        </xdr:from>
        <xdr:to>
          <xdr:col>5</xdr:col>
          <xdr:colOff>314325</xdr:colOff>
          <xdr:row>19</xdr:row>
          <xdr:rowOff>28575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1619250</xdr:colOff>
          <xdr:row>5</xdr:row>
          <xdr:rowOff>200025</xdr:rowOff>
        </xdr:from>
        <xdr:to>
          <xdr:col>3</xdr:col>
          <xdr:colOff>0</xdr:colOff>
          <xdr:row>6</xdr:row>
          <xdr:rowOff>190500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3</xdr:col>
      <xdr:colOff>438150</xdr:colOff>
      <xdr:row>64</xdr:row>
      <xdr:rowOff>123825</xdr:rowOff>
    </xdr:from>
    <xdr:to>
      <xdr:col>5</xdr:col>
      <xdr:colOff>476250</xdr:colOff>
      <xdr:row>71</xdr:row>
      <xdr:rowOff>123825</xdr:rowOff>
    </xdr:to>
    <xdr:pic>
      <xdr:nvPicPr>
        <xdr:cNvPr id="21" name="Picture 20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81475" y="13439775"/>
          <a:ext cx="18192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485775</xdr:colOff>
          <xdr:row>51</xdr:row>
          <xdr:rowOff>0</xdr:rowOff>
        </xdr:from>
        <xdr:to>
          <xdr:col>7</xdr:col>
          <xdr:colOff>85725</xdr:colOff>
          <xdr:row>52</xdr:row>
          <xdr:rowOff>0</xdr:rowOff>
        </xdr:to>
        <xdr:sp macro="" textlink="">
          <xdr:nvSpPr>
            <xdr:cNvPr id="1046" name="Drop Dow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omments" Target="../comments1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000"/>
  <sheetViews>
    <sheetView showGridLines="0" showRowColHeaders="0" tabSelected="1" workbookViewId="0">
      <selection activeCell="H71" sqref="H71"/>
    </sheetView>
  </sheetViews>
  <sheetFormatPr defaultRowHeight="15" x14ac:dyDescent="0.25"/>
  <cols>
    <col min="1" max="1" width="8" customWidth="1"/>
    <col min="2" max="2" width="24.42578125" customWidth="1"/>
    <col min="3" max="3" width="23.7109375" customWidth="1"/>
    <col min="4" max="4" width="7.5703125" customWidth="1"/>
    <col min="5" max="5" width="19.140625" customWidth="1"/>
    <col min="6" max="6" width="11.5703125" customWidth="1"/>
    <col min="7" max="7" width="17.5703125" customWidth="1"/>
    <col min="8" max="8" width="10.5703125" customWidth="1"/>
    <col min="9" max="9" width="9" customWidth="1"/>
    <col min="10" max="10" width="10.85546875" customWidth="1"/>
    <col min="11" max="11" width="12.140625" customWidth="1"/>
    <col min="12" max="13" width="5.7109375" customWidth="1"/>
  </cols>
  <sheetData>
    <row r="1" spans="1:13" ht="21" thickTop="1" x14ac:dyDescent="0.3">
      <c r="A1" s="103" t="s">
        <v>276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5"/>
    </row>
    <row r="2" spans="1:13" x14ac:dyDescent="0.25">
      <c r="A2" s="1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3"/>
    </row>
    <row r="3" spans="1:13" ht="16.5" thickBot="1" x14ac:dyDescent="0.3">
      <c r="A3" s="1"/>
      <c r="B3" s="97" t="s">
        <v>0</v>
      </c>
      <c r="C3" s="4"/>
      <c r="D3" s="2"/>
      <c r="E3" s="2"/>
      <c r="F3" s="2"/>
      <c r="G3" s="2"/>
      <c r="H3" s="2"/>
      <c r="I3" s="5"/>
      <c r="J3" s="5"/>
      <c r="K3" s="5"/>
      <c r="L3" s="2"/>
      <c r="M3" s="3"/>
    </row>
    <row r="4" spans="1:13" ht="16.5" thickBot="1" x14ac:dyDescent="0.3">
      <c r="A4" s="1"/>
      <c r="B4" s="6" t="s">
        <v>1</v>
      </c>
      <c r="C4" s="7"/>
      <c r="D4" s="8"/>
      <c r="E4" s="9" t="s">
        <v>2</v>
      </c>
      <c r="F4" s="2"/>
      <c r="G4" s="2"/>
      <c r="H4" s="2"/>
      <c r="I4" s="2"/>
      <c r="J4" s="2"/>
      <c r="K4" s="2"/>
      <c r="L4" s="2"/>
      <c r="M4" s="3"/>
    </row>
    <row r="5" spans="1:13" ht="16.5" thickBot="1" x14ac:dyDescent="0.3">
      <c r="A5" s="1"/>
      <c r="B5" s="10" t="s">
        <v>3</v>
      </c>
      <c r="C5" s="4"/>
      <c r="D5" s="8"/>
      <c r="E5" s="10" t="s">
        <v>4</v>
      </c>
      <c r="F5" s="124"/>
      <c r="G5" s="124"/>
      <c r="H5" s="2"/>
      <c r="I5" s="5"/>
      <c r="J5" s="5"/>
      <c r="K5" s="5"/>
      <c r="L5" s="2"/>
      <c r="M5" s="3"/>
    </row>
    <row r="6" spans="1:13" ht="16.5" thickBot="1" x14ac:dyDescent="0.3">
      <c r="A6" s="1"/>
      <c r="B6" s="10" t="s">
        <v>5</v>
      </c>
      <c r="C6" s="11"/>
      <c r="D6" s="8"/>
      <c r="E6" s="10" t="s">
        <v>6</v>
      </c>
      <c r="F6" s="125"/>
      <c r="G6" s="125"/>
      <c r="H6" s="2"/>
      <c r="I6" s="2"/>
      <c r="J6" s="2"/>
      <c r="K6" s="2"/>
      <c r="L6" s="2"/>
      <c r="M6" s="3"/>
    </row>
    <row r="7" spans="1:13" ht="16.5" thickBot="1" x14ac:dyDescent="0.3">
      <c r="A7" s="1"/>
      <c r="B7" s="10" t="s">
        <v>7</v>
      </c>
      <c r="C7" s="12"/>
      <c r="D7" s="8"/>
      <c r="E7" s="10" t="s">
        <v>8</v>
      </c>
      <c r="F7" s="126"/>
      <c r="G7" s="126"/>
      <c r="H7" s="2"/>
      <c r="I7" s="2"/>
      <c r="J7" s="2"/>
      <c r="K7" s="2"/>
      <c r="L7" s="2"/>
      <c r="M7" s="3"/>
    </row>
    <row r="8" spans="1:13" ht="16.5" thickBot="1" x14ac:dyDescent="0.3">
      <c r="A8" s="1"/>
      <c r="B8" s="10" t="s">
        <v>9</v>
      </c>
      <c r="C8" s="4"/>
      <c r="D8" s="8"/>
      <c r="E8" s="10" t="s">
        <v>10</v>
      </c>
      <c r="F8" s="127"/>
      <c r="G8" s="127"/>
      <c r="H8" s="127"/>
      <c r="I8" s="2"/>
      <c r="J8" s="2"/>
      <c r="K8" s="2"/>
      <c r="L8" s="2"/>
      <c r="M8" s="3"/>
    </row>
    <row r="9" spans="1:13" ht="16.5" thickBot="1" x14ac:dyDescent="0.3">
      <c r="A9" s="1"/>
      <c r="B9" s="10" t="s">
        <v>11</v>
      </c>
      <c r="C9" s="13"/>
      <c r="D9" s="2"/>
      <c r="E9" s="2"/>
      <c r="F9" s="2"/>
      <c r="G9" s="2"/>
      <c r="H9" s="2"/>
      <c r="I9" s="2"/>
      <c r="J9" s="2"/>
      <c r="K9" s="2"/>
      <c r="L9" s="2"/>
      <c r="M9" s="3"/>
    </row>
    <row r="10" spans="1:13" ht="20.25" thickBot="1" x14ac:dyDescent="0.4">
      <c r="A10" s="1"/>
      <c r="B10" s="14" t="s">
        <v>12</v>
      </c>
      <c r="C10" s="2"/>
      <c r="D10" s="2"/>
      <c r="E10" s="2" t="s">
        <v>13</v>
      </c>
      <c r="F10" s="128"/>
      <c r="G10" s="128"/>
      <c r="H10" s="2"/>
      <c r="I10" s="2"/>
      <c r="J10" s="2"/>
      <c r="K10" s="2"/>
      <c r="L10" s="2"/>
      <c r="M10" s="3"/>
    </row>
    <row r="11" spans="1:13" x14ac:dyDescent="0.25">
      <c r="A11" s="1"/>
      <c r="B11" s="15" t="s">
        <v>14</v>
      </c>
      <c r="C11" s="2"/>
      <c r="D11" s="2"/>
      <c r="E11" s="2"/>
      <c r="F11" s="2"/>
      <c r="G11" s="2"/>
      <c r="H11" s="2"/>
      <c r="I11" s="5"/>
      <c r="J11" s="5"/>
      <c r="K11" s="5"/>
      <c r="L11" s="2"/>
      <c r="M11" s="3"/>
    </row>
    <row r="12" spans="1:13" x14ac:dyDescent="0.25">
      <c r="A12" s="1"/>
      <c r="B12" s="15" t="s">
        <v>15</v>
      </c>
      <c r="C12" s="2"/>
      <c r="D12" s="2"/>
      <c r="E12" s="2" t="s">
        <v>16</v>
      </c>
      <c r="F12" s="2"/>
      <c r="G12" s="2" t="s">
        <v>17</v>
      </c>
      <c r="H12" s="2"/>
      <c r="I12" s="2"/>
      <c r="J12" s="2"/>
      <c r="K12" s="2"/>
      <c r="L12" s="2"/>
      <c r="M12" s="3"/>
    </row>
    <row r="13" spans="1:13" x14ac:dyDescent="0.25">
      <c r="A13" s="1"/>
      <c r="B13" s="16" t="s">
        <v>18</v>
      </c>
      <c r="C13" s="2"/>
      <c r="D13" s="2"/>
      <c r="E13" s="17" t="s">
        <v>19</v>
      </c>
      <c r="F13" s="2"/>
      <c r="G13" s="17" t="s">
        <v>20</v>
      </c>
      <c r="H13" s="2"/>
      <c r="I13" s="2"/>
      <c r="J13" s="2"/>
      <c r="K13" s="2"/>
      <c r="L13" s="2"/>
      <c r="M13" s="3"/>
    </row>
    <row r="14" spans="1:13" ht="15.75" thickBot="1" x14ac:dyDescent="0.3">
      <c r="A14" s="1"/>
      <c r="B14" s="15" t="s">
        <v>21</v>
      </c>
      <c r="C14" s="18"/>
      <c r="D14" s="2" t="s">
        <v>22</v>
      </c>
      <c r="E14" s="15" t="s">
        <v>23</v>
      </c>
      <c r="F14" s="2"/>
      <c r="G14" s="15" t="s">
        <v>24</v>
      </c>
      <c r="H14" s="2"/>
      <c r="I14" s="2"/>
      <c r="J14" s="2"/>
      <c r="K14" s="2"/>
      <c r="L14" s="2"/>
      <c r="M14" s="3"/>
    </row>
    <row r="15" spans="1:13" ht="15.75" thickBot="1" x14ac:dyDescent="0.3">
      <c r="A15" s="1"/>
      <c r="B15" s="15" t="s">
        <v>25</v>
      </c>
      <c r="C15" s="20"/>
      <c r="D15" s="2" t="s">
        <v>22</v>
      </c>
      <c r="E15" s="15" t="s">
        <v>26</v>
      </c>
      <c r="F15" s="2"/>
      <c r="G15" s="15" t="s">
        <v>27</v>
      </c>
      <c r="H15" s="2"/>
      <c r="I15" s="2"/>
      <c r="J15" s="2"/>
      <c r="K15" s="2"/>
      <c r="L15" s="2"/>
      <c r="M15" s="3"/>
    </row>
    <row r="16" spans="1:13" ht="15.75" thickBot="1" x14ac:dyDescent="0.3">
      <c r="A16" s="1"/>
      <c r="B16" s="94" t="s">
        <v>28</v>
      </c>
      <c r="C16" s="20"/>
      <c r="D16" s="2" t="s">
        <v>22</v>
      </c>
      <c r="E16" s="15" t="s">
        <v>29</v>
      </c>
      <c r="F16" s="2"/>
      <c r="G16" s="15" t="s">
        <v>30</v>
      </c>
      <c r="H16" s="2"/>
      <c r="I16" s="2"/>
      <c r="J16" s="2"/>
      <c r="K16" s="2"/>
      <c r="L16" s="2"/>
      <c r="M16" s="3"/>
    </row>
    <row r="17" spans="1:13" ht="15.75" thickBot="1" x14ac:dyDescent="0.3">
      <c r="A17" s="1"/>
      <c r="B17" s="15" t="s">
        <v>31</v>
      </c>
      <c r="C17" s="21"/>
      <c r="D17" s="19" t="s">
        <v>32</v>
      </c>
      <c r="E17" s="15" t="s">
        <v>33</v>
      </c>
      <c r="F17" s="2"/>
      <c r="G17" s="2"/>
      <c r="H17" s="2"/>
      <c r="I17" s="2"/>
      <c r="J17" s="2"/>
      <c r="K17" s="2"/>
      <c r="L17" s="2"/>
      <c r="M17" s="3"/>
    </row>
    <row r="18" spans="1:13" ht="15.75" thickBot="1" x14ac:dyDescent="0.3">
      <c r="A18" s="1"/>
      <c r="B18" s="15" t="s">
        <v>34</v>
      </c>
      <c r="C18" s="18"/>
      <c r="D18" s="22" t="s">
        <v>32</v>
      </c>
      <c r="E18" s="15" t="s">
        <v>35</v>
      </c>
      <c r="F18" s="2"/>
      <c r="G18" s="15" t="s">
        <v>36</v>
      </c>
      <c r="H18" s="2"/>
      <c r="I18" s="2"/>
      <c r="J18" s="2"/>
      <c r="K18" s="2"/>
      <c r="L18" s="2"/>
      <c r="M18" s="3"/>
    </row>
    <row r="19" spans="1:13" ht="15.75" thickBot="1" x14ac:dyDescent="0.3">
      <c r="A19" s="1"/>
      <c r="B19" s="15" t="s">
        <v>37</v>
      </c>
      <c r="C19" s="23"/>
      <c r="D19" s="22" t="s">
        <v>22</v>
      </c>
      <c r="E19" s="2" t="s">
        <v>38</v>
      </c>
      <c r="F19" s="2"/>
      <c r="G19" s="2" t="s">
        <v>39</v>
      </c>
      <c r="H19" s="2"/>
      <c r="I19" s="2"/>
      <c r="J19" s="2"/>
      <c r="K19" s="2"/>
      <c r="L19" s="2"/>
      <c r="M19" s="3"/>
    </row>
    <row r="20" spans="1:13" x14ac:dyDescent="0.25">
      <c r="A20" s="1"/>
      <c r="B20" s="2"/>
      <c r="C20" s="15"/>
      <c r="D20" s="15"/>
      <c r="E20" s="2"/>
      <c r="F20" s="2"/>
      <c r="G20" s="2"/>
      <c r="H20" s="2"/>
      <c r="I20" s="2"/>
      <c r="J20" s="2"/>
      <c r="K20" s="2"/>
      <c r="L20" s="2"/>
      <c r="M20" s="3"/>
    </row>
    <row r="21" spans="1:13" x14ac:dyDescent="0.25">
      <c r="A21" s="1"/>
      <c r="B21" s="2"/>
      <c r="C21" s="24"/>
      <c r="D21" s="25"/>
      <c r="E21" s="25"/>
      <c r="F21" s="25"/>
      <c r="G21" s="2"/>
      <c r="H21" s="2"/>
      <c r="I21" s="2"/>
      <c r="J21" s="2"/>
      <c r="K21" s="2"/>
      <c r="L21" s="2"/>
      <c r="M21" s="3"/>
    </row>
    <row r="22" spans="1:13" ht="19.5" x14ac:dyDescent="0.35">
      <c r="A22" s="1"/>
      <c r="B22" s="2"/>
      <c r="C22" s="120" t="s">
        <v>40</v>
      </c>
      <c r="D22" s="120"/>
      <c r="E22" s="120"/>
      <c r="F22" s="25"/>
      <c r="G22" s="2"/>
      <c r="H22" s="2"/>
      <c r="I22" s="2"/>
      <c r="J22" s="2"/>
      <c r="K22" s="2"/>
      <c r="L22" s="2"/>
      <c r="M22" s="3"/>
    </row>
    <row r="23" spans="1:13" x14ac:dyDescent="0.25">
      <c r="A23" s="1"/>
      <c r="B23" s="2"/>
      <c r="C23" s="25" t="s">
        <v>41</v>
      </c>
      <c r="D23" s="25"/>
      <c r="E23" s="25"/>
      <c r="F23" s="25"/>
      <c r="G23" s="2"/>
      <c r="H23" s="2"/>
      <c r="I23" s="2"/>
      <c r="J23" s="2"/>
      <c r="K23" s="2"/>
      <c r="L23" s="2"/>
      <c r="M23" s="3"/>
    </row>
    <row r="24" spans="1:13" ht="19.5" x14ac:dyDescent="0.35">
      <c r="A24" s="1"/>
      <c r="B24" s="26" t="s">
        <v>42</v>
      </c>
      <c r="C24" s="2"/>
      <c r="D24" s="2"/>
      <c r="E24" s="2"/>
      <c r="F24" s="2"/>
      <c r="G24" s="2"/>
      <c r="H24" s="121" t="s">
        <v>43</v>
      </c>
      <c r="I24" s="121"/>
      <c r="J24" s="121"/>
      <c r="K24" s="121"/>
      <c r="L24" s="2"/>
      <c r="M24" s="3"/>
    </row>
    <row r="25" spans="1:13" ht="16.5" thickBot="1" x14ac:dyDescent="0.3">
      <c r="A25" s="1"/>
      <c r="B25" s="2"/>
      <c r="C25" s="2" t="s">
        <v>44</v>
      </c>
      <c r="D25" s="27" t="s">
        <v>45</v>
      </c>
      <c r="E25" s="28">
        <f>IF(E38=0,0,E38)</f>
        <v>0</v>
      </c>
      <c r="F25" s="29" t="s">
        <v>46</v>
      </c>
      <c r="G25" s="119" t="s">
        <v>47</v>
      </c>
      <c r="H25" s="119"/>
      <c r="I25" s="119"/>
      <c r="J25" s="119"/>
      <c r="K25" s="30"/>
      <c r="L25" s="2" t="s">
        <v>22</v>
      </c>
      <c r="M25" s="3"/>
    </row>
    <row r="26" spans="1:13" ht="16.5" thickBot="1" x14ac:dyDescent="0.3">
      <c r="A26" s="1"/>
      <c r="B26" s="2"/>
      <c r="C26" s="31" t="s">
        <v>48</v>
      </c>
      <c r="D26" s="27" t="s">
        <v>49</v>
      </c>
      <c r="E26" s="32"/>
      <c r="F26" s="29" t="s">
        <v>50</v>
      </c>
      <c r="G26" s="119" t="s">
        <v>51</v>
      </c>
      <c r="H26" s="119"/>
      <c r="I26" s="119"/>
      <c r="J26" s="119"/>
      <c r="K26" s="33"/>
      <c r="L26" s="2" t="s">
        <v>52</v>
      </c>
      <c r="M26" s="3"/>
    </row>
    <row r="27" spans="1:13" ht="20.25" thickBot="1" x14ac:dyDescent="0.4">
      <c r="A27" s="1"/>
      <c r="B27" s="14" t="s">
        <v>53</v>
      </c>
      <c r="C27" s="34" t="s">
        <v>54</v>
      </c>
      <c r="D27" s="27" t="s">
        <v>55</v>
      </c>
      <c r="E27" s="32"/>
      <c r="F27" s="29" t="s">
        <v>56</v>
      </c>
      <c r="G27" s="2"/>
      <c r="H27" s="2"/>
      <c r="I27" s="119" t="s">
        <v>57</v>
      </c>
      <c r="J27" s="119"/>
      <c r="K27" s="35">
        <f>IF(K26=0,0,K25/K26)</f>
        <v>0</v>
      </c>
      <c r="L27" s="17" t="s">
        <v>22</v>
      </c>
      <c r="M27" s="3"/>
    </row>
    <row r="28" spans="1:13" ht="16.5" thickBot="1" x14ac:dyDescent="0.3">
      <c r="A28" s="1"/>
      <c r="B28" s="2"/>
      <c r="C28" s="34" t="s">
        <v>58</v>
      </c>
      <c r="D28" s="27" t="s">
        <v>59</v>
      </c>
      <c r="E28" s="32"/>
      <c r="F28" s="29" t="s">
        <v>60</v>
      </c>
      <c r="G28" s="2"/>
      <c r="H28" s="2"/>
      <c r="I28" s="2"/>
      <c r="J28" s="2"/>
      <c r="K28" s="2"/>
      <c r="L28" s="2"/>
      <c r="M28" s="3"/>
    </row>
    <row r="29" spans="1:13" ht="16.5" thickBot="1" x14ac:dyDescent="0.3">
      <c r="A29" s="1"/>
      <c r="B29" s="2"/>
      <c r="C29" s="34" t="s">
        <v>61</v>
      </c>
      <c r="D29" s="27" t="s">
        <v>62</v>
      </c>
      <c r="E29" s="32"/>
      <c r="F29" s="29" t="s">
        <v>63</v>
      </c>
      <c r="G29" s="2"/>
      <c r="H29" s="122" t="s">
        <v>64</v>
      </c>
      <c r="I29" s="122"/>
      <c r="J29" s="122"/>
      <c r="K29" s="36">
        <f>IF(E26=0,0,E26*231/(E28*E30))</f>
        <v>0</v>
      </c>
      <c r="L29" s="2" t="s">
        <v>65</v>
      </c>
      <c r="M29" s="3"/>
    </row>
    <row r="30" spans="1:13" ht="16.5" thickBot="1" x14ac:dyDescent="0.3">
      <c r="A30" s="1"/>
      <c r="B30" s="2"/>
      <c r="C30" s="34" t="s">
        <v>66</v>
      </c>
      <c r="D30" s="27" t="s">
        <v>67</v>
      </c>
      <c r="E30" s="37"/>
      <c r="F30" s="29" t="s">
        <v>22</v>
      </c>
      <c r="G30" s="19"/>
      <c r="H30" s="115" t="s">
        <v>68</v>
      </c>
      <c r="I30" s="115"/>
      <c r="J30" s="115"/>
      <c r="K30" s="38">
        <f>IF(E29=0,0,E29*E27)/74</f>
        <v>0</v>
      </c>
      <c r="L30" s="2" t="s">
        <v>69</v>
      </c>
      <c r="M30" s="3"/>
    </row>
    <row r="31" spans="1:13" ht="16.5" thickBot="1" x14ac:dyDescent="0.3">
      <c r="A31" s="1"/>
      <c r="B31" s="2"/>
      <c r="C31" s="2" t="s">
        <v>70</v>
      </c>
      <c r="D31" s="39" t="s">
        <v>71</v>
      </c>
      <c r="E31" s="40">
        <f>E29*E27/74</f>
        <v>0</v>
      </c>
      <c r="F31" s="29" t="s">
        <v>69</v>
      </c>
      <c r="G31" s="2"/>
      <c r="H31" s="115" t="s">
        <v>72</v>
      </c>
      <c r="I31" s="115"/>
      <c r="J31" s="115"/>
      <c r="K31" s="38">
        <f>IF(E26=0,0,E26*E27)/1680</f>
        <v>0</v>
      </c>
      <c r="L31" s="2" t="s">
        <v>46</v>
      </c>
      <c r="M31" s="3"/>
    </row>
    <row r="32" spans="1:13" ht="16.5" thickBot="1" x14ac:dyDescent="0.3">
      <c r="A32" s="1"/>
      <c r="B32" s="2"/>
      <c r="C32" s="2" t="s">
        <v>73</v>
      </c>
      <c r="D32" s="39" t="s">
        <v>74</v>
      </c>
      <c r="E32" s="41">
        <f>(E30*E28)</f>
        <v>0</v>
      </c>
      <c r="F32" s="29" t="s">
        <v>22</v>
      </c>
      <c r="G32" s="2"/>
      <c r="H32" s="115"/>
      <c r="I32" s="115"/>
      <c r="J32" s="115"/>
      <c r="K32" s="2"/>
      <c r="L32" s="42"/>
      <c r="M32" s="3"/>
    </row>
    <row r="33" spans="1:13" x14ac:dyDescent="0.25">
      <c r="A33" s="1"/>
      <c r="B33" s="2"/>
      <c r="C33" s="2"/>
      <c r="D33" s="2"/>
      <c r="E33" s="2"/>
      <c r="F33" s="2"/>
      <c r="G33" s="2"/>
      <c r="H33" s="123" t="s">
        <v>75</v>
      </c>
      <c r="I33" s="123"/>
      <c r="J33" s="123"/>
      <c r="K33" s="2"/>
      <c r="L33" s="2"/>
      <c r="M33" s="3"/>
    </row>
    <row r="34" spans="1:13" ht="20.25" thickBot="1" x14ac:dyDescent="0.4">
      <c r="A34" s="1"/>
      <c r="B34" s="43" t="s">
        <v>76</v>
      </c>
      <c r="C34" s="2"/>
      <c r="D34" s="2"/>
      <c r="E34" s="2"/>
      <c r="F34" s="2"/>
      <c r="G34" s="2"/>
      <c r="H34" s="2"/>
      <c r="I34" s="44" t="s">
        <v>77</v>
      </c>
      <c r="J34" s="44" t="s">
        <v>78</v>
      </c>
      <c r="K34" s="44" t="s">
        <v>79</v>
      </c>
      <c r="L34" s="2"/>
      <c r="M34" s="3"/>
    </row>
    <row r="35" spans="1:13" ht="15.75" thickBot="1" x14ac:dyDescent="0.3">
      <c r="A35" s="1"/>
      <c r="B35" s="2"/>
      <c r="C35" s="2" t="s">
        <v>80</v>
      </c>
      <c r="D35" s="2"/>
      <c r="E35" s="2"/>
      <c r="F35" s="2"/>
      <c r="G35" s="2"/>
      <c r="H35" s="2"/>
      <c r="I35" s="45"/>
      <c r="J35" s="46">
        <f>I35*0.061024</f>
        <v>0</v>
      </c>
      <c r="K35" s="47">
        <f>I35/3785.411784</f>
        <v>0</v>
      </c>
      <c r="L35" s="2"/>
      <c r="M35" s="3"/>
    </row>
    <row r="36" spans="1:13" ht="16.5" thickBot="1" x14ac:dyDescent="0.3">
      <c r="A36" s="1"/>
      <c r="B36" s="2"/>
      <c r="C36" s="119" t="s">
        <v>81</v>
      </c>
      <c r="D36" s="119"/>
      <c r="E36" s="21"/>
      <c r="F36" s="2" t="s">
        <v>82</v>
      </c>
      <c r="G36" s="2"/>
      <c r="H36" s="2"/>
      <c r="I36" s="39" t="s">
        <v>32</v>
      </c>
      <c r="J36" s="27" t="s">
        <v>83</v>
      </c>
      <c r="K36" s="2"/>
      <c r="L36" s="2"/>
      <c r="M36" s="3"/>
    </row>
    <row r="37" spans="1:13" ht="15.75" thickBot="1" x14ac:dyDescent="0.3">
      <c r="A37" s="1"/>
      <c r="B37" s="2"/>
      <c r="C37" s="119" t="s">
        <v>84</v>
      </c>
      <c r="D37" s="119"/>
      <c r="E37" s="20"/>
      <c r="F37" s="2" t="s">
        <v>22</v>
      </c>
      <c r="G37" s="2"/>
      <c r="H37" s="2"/>
      <c r="I37" s="48"/>
      <c r="J37" s="49">
        <f>I37*1.609344</f>
        <v>0</v>
      </c>
      <c r="K37" s="2"/>
      <c r="L37" s="2"/>
      <c r="M37" s="3"/>
    </row>
    <row r="38" spans="1:13" ht="16.5" thickBot="1" x14ac:dyDescent="0.3">
      <c r="A38" s="1"/>
      <c r="B38" s="2"/>
      <c r="C38" s="2"/>
      <c r="D38" s="2"/>
      <c r="E38" s="50">
        <f>(E36*E37)/5252</f>
        <v>0</v>
      </c>
      <c r="F38" s="51" t="s">
        <v>85</v>
      </c>
      <c r="G38" s="2"/>
      <c r="H38" s="2"/>
      <c r="I38" s="49">
        <f>(J38/1.609344)</f>
        <v>0</v>
      </c>
      <c r="J38" s="4"/>
      <c r="K38" s="2"/>
      <c r="L38" s="2"/>
      <c r="M38" s="3"/>
    </row>
    <row r="39" spans="1:13" ht="19.5" x14ac:dyDescent="0.35">
      <c r="A39" s="1"/>
      <c r="B39" s="43" t="s">
        <v>68</v>
      </c>
      <c r="C39" s="2"/>
      <c r="D39" s="2"/>
      <c r="E39" s="2"/>
      <c r="F39" s="2"/>
      <c r="G39" s="2"/>
      <c r="H39" s="2"/>
      <c r="I39" s="52" t="s">
        <v>86</v>
      </c>
      <c r="J39" s="52" t="s">
        <v>87</v>
      </c>
      <c r="K39" s="2"/>
      <c r="L39" s="2"/>
      <c r="M39" s="3"/>
    </row>
    <row r="40" spans="1:13" ht="16.5" thickBot="1" x14ac:dyDescent="0.3">
      <c r="A40" s="1"/>
      <c r="B40" s="2"/>
      <c r="C40" s="53" t="s">
        <v>70</v>
      </c>
      <c r="D40" s="34" t="s">
        <v>88</v>
      </c>
      <c r="E40" s="98"/>
      <c r="F40" s="17" t="s">
        <v>82</v>
      </c>
      <c r="G40" s="2"/>
      <c r="H40" s="2"/>
      <c r="I40" s="48"/>
      <c r="J40" s="49">
        <f>I40/0.145037738</f>
        <v>0</v>
      </c>
      <c r="K40" s="2"/>
      <c r="L40" s="2"/>
      <c r="M40" s="3"/>
    </row>
    <row r="41" spans="1:13" ht="16.5" thickBot="1" x14ac:dyDescent="0.3">
      <c r="A41" s="1"/>
      <c r="B41" s="54"/>
      <c r="C41" s="34" t="s">
        <v>44</v>
      </c>
      <c r="D41" s="34" t="s">
        <v>89</v>
      </c>
      <c r="E41" s="99"/>
      <c r="F41" s="17" t="s">
        <v>85</v>
      </c>
      <c r="G41" s="2"/>
      <c r="H41" s="2"/>
      <c r="I41" s="49">
        <f>J41*0.145037738</f>
        <v>0</v>
      </c>
      <c r="J41" s="48"/>
      <c r="K41" s="2"/>
      <c r="L41" s="2"/>
      <c r="M41" s="3"/>
    </row>
    <row r="42" spans="1:13" ht="16.5" thickBot="1" x14ac:dyDescent="0.3">
      <c r="A42" s="1"/>
      <c r="B42" s="2"/>
      <c r="C42" s="55" t="s">
        <v>90</v>
      </c>
      <c r="D42" s="55" t="s">
        <v>91</v>
      </c>
      <c r="E42" s="100"/>
      <c r="F42" s="17" t="s">
        <v>52</v>
      </c>
      <c r="G42" s="2"/>
      <c r="H42" s="2"/>
      <c r="I42" s="39"/>
      <c r="J42" s="39"/>
      <c r="K42" s="2"/>
      <c r="L42" s="2"/>
      <c r="M42" s="3"/>
    </row>
    <row r="43" spans="1:13" ht="16.5" thickBot="1" x14ac:dyDescent="0.3">
      <c r="A43" s="1"/>
      <c r="B43" s="19"/>
      <c r="C43" s="34" t="s">
        <v>57</v>
      </c>
      <c r="D43" s="34" t="s">
        <v>92</v>
      </c>
      <c r="E43" s="101"/>
      <c r="F43" s="17" t="s">
        <v>22</v>
      </c>
      <c r="G43" s="2"/>
      <c r="H43" s="2"/>
      <c r="I43" s="39" t="s">
        <v>93</v>
      </c>
      <c r="J43" s="39" t="s">
        <v>94</v>
      </c>
      <c r="K43" s="2"/>
      <c r="L43" s="2"/>
      <c r="M43" s="3"/>
    </row>
    <row r="44" spans="1:13" ht="16.5" thickBot="1" x14ac:dyDescent="0.3">
      <c r="A44" s="1"/>
      <c r="B44" s="2"/>
      <c r="C44" s="34" t="s">
        <v>95</v>
      </c>
      <c r="D44" s="34" t="s">
        <v>96</v>
      </c>
      <c r="E44" s="56">
        <f>IF(E41=0,0,(E41*5252)/(E42*E43))</f>
        <v>0</v>
      </c>
      <c r="F44" s="17" t="s">
        <v>82</v>
      </c>
      <c r="G44" s="2"/>
      <c r="H44" s="2"/>
      <c r="I44" s="21"/>
      <c r="J44" s="57">
        <f>(I44/35.32)</f>
        <v>0</v>
      </c>
      <c r="K44" s="2"/>
      <c r="L44" s="2"/>
      <c r="M44" s="3"/>
    </row>
    <row r="45" spans="1:13" ht="15.75" thickBot="1" x14ac:dyDescent="0.3">
      <c r="A45" s="1"/>
      <c r="B45" s="2"/>
      <c r="C45" s="58"/>
      <c r="D45" s="58"/>
      <c r="E45" s="59"/>
      <c r="F45" s="2"/>
      <c r="G45" s="2"/>
      <c r="H45" s="2"/>
      <c r="I45" s="60">
        <f>J45*35.32</f>
        <v>0</v>
      </c>
      <c r="J45" s="21"/>
      <c r="K45" s="2"/>
      <c r="L45" s="2"/>
      <c r="M45" s="3"/>
    </row>
    <row r="46" spans="1:13" x14ac:dyDescent="0.25">
      <c r="A46" s="1"/>
      <c r="B46" s="2"/>
      <c r="C46" s="58"/>
      <c r="D46" s="58"/>
      <c r="E46" s="58"/>
      <c r="F46" s="2"/>
      <c r="G46" s="2"/>
      <c r="H46" s="2"/>
      <c r="I46" s="2"/>
      <c r="J46" s="2"/>
      <c r="K46" s="2"/>
      <c r="L46" s="2"/>
      <c r="M46" s="3"/>
    </row>
    <row r="47" spans="1:13" ht="20.25" thickBot="1" x14ac:dyDescent="0.4">
      <c r="A47" s="1"/>
      <c r="B47" s="2"/>
      <c r="C47" s="114" t="s">
        <v>97</v>
      </c>
      <c r="D47" s="114"/>
      <c r="E47" s="114"/>
      <c r="F47" s="2"/>
      <c r="G47" s="2"/>
      <c r="H47" s="2"/>
      <c r="I47" s="2"/>
      <c r="J47" s="2"/>
      <c r="K47" s="2"/>
      <c r="L47" s="2"/>
      <c r="M47" s="3"/>
    </row>
    <row r="48" spans="1:13" ht="16.5" thickBot="1" x14ac:dyDescent="0.3">
      <c r="A48" s="1"/>
      <c r="B48" s="2"/>
      <c r="C48" s="61" t="s">
        <v>98</v>
      </c>
      <c r="D48" s="61" t="s">
        <v>86</v>
      </c>
      <c r="E48" s="62"/>
      <c r="F48" s="29" t="s">
        <v>86</v>
      </c>
      <c r="G48" s="2"/>
      <c r="H48" s="2"/>
      <c r="I48" s="2" t="s">
        <v>57</v>
      </c>
      <c r="J48" s="2"/>
      <c r="K48" s="63"/>
      <c r="L48" s="2" t="s">
        <v>22</v>
      </c>
      <c r="M48" s="3"/>
    </row>
    <row r="49" spans="1:13" ht="16.5" thickBot="1" x14ac:dyDescent="0.3">
      <c r="A49" s="1"/>
      <c r="B49" s="2"/>
      <c r="C49" s="61" t="s">
        <v>99</v>
      </c>
      <c r="D49" s="61" t="s">
        <v>93</v>
      </c>
      <c r="E49" s="62"/>
      <c r="F49" s="29" t="s">
        <v>93</v>
      </c>
      <c r="G49" s="2"/>
      <c r="H49" s="2"/>
      <c r="I49" s="2" t="s">
        <v>58</v>
      </c>
      <c r="J49" s="2"/>
      <c r="K49" s="64"/>
      <c r="L49" s="2" t="s">
        <v>52</v>
      </c>
      <c r="M49" s="3"/>
    </row>
    <row r="50" spans="1:13" ht="16.5" thickBot="1" x14ac:dyDescent="0.3">
      <c r="A50" s="1"/>
      <c r="B50" s="2"/>
      <c r="C50" s="61" t="s">
        <v>100</v>
      </c>
      <c r="D50" s="61" t="s">
        <v>101</v>
      </c>
      <c r="E50" s="62"/>
      <c r="F50" s="29" t="s">
        <v>102</v>
      </c>
      <c r="G50" s="2"/>
      <c r="H50" s="2"/>
      <c r="I50" s="2" t="s">
        <v>103</v>
      </c>
      <c r="J50" s="2"/>
      <c r="K50" s="65">
        <f>IF(K48=0,0,K48*K49)</f>
        <v>0</v>
      </c>
      <c r="L50" s="2" t="s">
        <v>22</v>
      </c>
      <c r="M50" s="3"/>
    </row>
    <row r="51" spans="1:13" ht="16.5" thickBot="1" x14ac:dyDescent="0.3">
      <c r="A51" s="1"/>
      <c r="B51" s="2"/>
      <c r="C51" s="61" t="s">
        <v>104</v>
      </c>
      <c r="D51" s="61" t="s">
        <v>22</v>
      </c>
      <c r="E51" s="62"/>
      <c r="F51" s="29" t="s">
        <v>22</v>
      </c>
      <c r="G51" s="106" t="s">
        <v>278</v>
      </c>
      <c r="H51" s="106"/>
      <c r="I51" s="2"/>
      <c r="J51" s="2"/>
      <c r="K51" s="2"/>
      <c r="L51" s="2"/>
      <c r="M51" s="3"/>
    </row>
    <row r="52" spans="1:13" ht="16.5" thickBot="1" x14ac:dyDescent="0.3">
      <c r="A52" s="1"/>
      <c r="B52" s="2"/>
      <c r="C52" s="61"/>
      <c r="D52" s="61"/>
      <c r="E52" s="61"/>
      <c r="F52" s="34"/>
      <c r="G52" s="107"/>
      <c r="H52" s="107"/>
      <c r="I52" s="2" t="s">
        <v>105</v>
      </c>
      <c r="J52" s="2"/>
      <c r="K52" s="63"/>
      <c r="L52" s="2" t="s">
        <v>22</v>
      </c>
      <c r="M52" s="3"/>
    </row>
    <row r="53" spans="1:13" ht="16.5" thickBot="1" x14ac:dyDescent="0.3">
      <c r="A53" s="1"/>
      <c r="B53" s="2"/>
      <c r="C53" s="66"/>
      <c r="D53" s="66"/>
      <c r="E53" s="66"/>
      <c r="F53" s="67"/>
      <c r="G53" s="2"/>
      <c r="H53" s="2"/>
      <c r="I53" s="2" t="s">
        <v>58</v>
      </c>
      <c r="J53" s="2"/>
      <c r="K53" s="64"/>
      <c r="L53" s="2" t="s">
        <v>52</v>
      </c>
      <c r="M53" s="3"/>
    </row>
    <row r="54" spans="1:13" x14ac:dyDescent="0.25">
      <c r="A54" s="1"/>
      <c r="B54" s="2"/>
      <c r="C54" s="68"/>
      <c r="D54" s="68"/>
      <c r="E54" s="68"/>
      <c r="F54" s="69"/>
      <c r="G54" s="2"/>
      <c r="H54" s="2"/>
      <c r="I54" s="2" t="s">
        <v>57</v>
      </c>
      <c r="J54" s="2"/>
      <c r="K54" s="60">
        <f>IF(K52=0,0,K52/K53)</f>
        <v>0</v>
      </c>
      <c r="L54" s="2" t="s">
        <v>22</v>
      </c>
      <c r="M54" s="3"/>
    </row>
    <row r="55" spans="1:13" x14ac:dyDescent="0.25">
      <c r="A55" s="1"/>
      <c r="B55" s="2"/>
      <c r="C55" s="68"/>
      <c r="D55" s="68"/>
      <c r="E55" s="68"/>
      <c r="F55" s="69"/>
      <c r="G55" s="2"/>
      <c r="H55" s="2"/>
      <c r="I55" s="2"/>
      <c r="J55" s="2"/>
      <c r="K55" s="2"/>
      <c r="L55" s="2"/>
      <c r="M55" s="3"/>
    </row>
    <row r="56" spans="1:13" x14ac:dyDescent="0.25">
      <c r="A56" s="1"/>
      <c r="B56" s="2"/>
      <c r="C56" s="58"/>
      <c r="D56" s="58"/>
      <c r="E56" s="58"/>
      <c r="F56" s="2"/>
      <c r="G56" s="2"/>
      <c r="H56" s="115" t="s">
        <v>106</v>
      </c>
      <c r="I56" s="115"/>
      <c r="J56" s="115"/>
      <c r="K56" s="115"/>
      <c r="L56" s="2"/>
      <c r="M56" s="3"/>
    </row>
    <row r="57" spans="1:13" x14ac:dyDescent="0.25">
      <c r="A57" s="1"/>
      <c r="B57" s="2"/>
      <c r="C57" s="58"/>
      <c r="D57" s="58"/>
      <c r="E57" s="58"/>
      <c r="F57" s="2"/>
      <c r="G57" s="115" t="s">
        <v>107</v>
      </c>
      <c r="H57" s="115"/>
      <c r="I57" s="115"/>
      <c r="J57" s="115"/>
      <c r="K57" s="115"/>
      <c r="L57" s="115"/>
      <c r="M57" s="116"/>
    </row>
    <row r="58" spans="1:13" x14ac:dyDescent="0.25">
      <c r="A58" s="1"/>
      <c r="B58" s="2"/>
      <c r="C58" s="58"/>
      <c r="D58" s="58"/>
      <c r="E58" s="58"/>
      <c r="F58" s="2"/>
      <c r="G58" s="2" t="s">
        <v>108</v>
      </c>
      <c r="H58" s="2" t="s">
        <v>109</v>
      </c>
      <c r="I58" s="2"/>
      <c r="J58" s="2"/>
      <c r="K58" s="2"/>
      <c r="L58" s="2"/>
      <c r="M58" s="3"/>
    </row>
    <row r="59" spans="1:13" x14ac:dyDescent="0.25">
      <c r="A59" s="1"/>
      <c r="B59" s="2"/>
      <c r="C59" s="54"/>
      <c r="D59" s="95"/>
      <c r="E59" s="70"/>
      <c r="F59" s="70"/>
      <c r="G59" s="2" t="s">
        <v>110</v>
      </c>
      <c r="H59" s="2"/>
      <c r="I59" s="2"/>
      <c r="J59" s="2"/>
      <c r="K59" s="2"/>
      <c r="L59" s="2"/>
      <c r="M59" s="3"/>
    </row>
    <row r="60" spans="1:13" x14ac:dyDescent="0.25">
      <c r="A60" s="1"/>
      <c r="B60" s="2"/>
      <c r="C60" s="54"/>
      <c r="D60" s="96"/>
      <c r="E60" s="54"/>
      <c r="F60" s="2"/>
      <c r="G60" s="2" t="s">
        <v>111</v>
      </c>
      <c r="H60" s="2"/>
      <c r="I60" s="2"/>
      <c r="J60" s="2"/>
      <c r="K60" s="2"/>
      <c r="L60" s="2"/>
      <c r="M60" s="3"/>
    </row>
    <row r="61" spans="1:13" x14ac:dyDescent="0.25">
      <c r="A61" s="1"/>
      <c r="B61" s="2"/>
      <c r="C61" s="2"/>
      <c r="D61" s="96"/>
      <c r="E61" s="2"/>
      <c r="F61" s="2"/>
      <c r="G61" s="2"/>
      <c r="H61" s="71" t="s">
        <v>112</v>
      </c>
      <c r="I61" s="72"/>
      <c r="J61" s="2" t="s">
        <v>113</v>
      </c>
      <c r="K61" s="73"/>
      <c r="L61" s="2"/>
      <c r="M61" s="3"/>
    </row>
    <row r="62" spans="1:13" x14ac:dyDescent="0.25">
      <c r="A62" s="1"/>
      <c r="B62" s="2"/>
      <c r="C62" s="2"/>
      <c r="D62" s="2"/>
      <c r="E62" s="2"/>
      <c r="F62" s="2"/>
      <c r="G62" s="2"/>
      <c r="H62" s="71" t="s">
        <v>114</v>
      </c>
      <c r="I62" s="2">
        <v>9.81</v>
      </c>
      <c r="J62" s="2" t="s">
        <v>115</v>
      </c>
      <c r="K62" s="74"/>
      <c r="L62" s="2"/>
      <c r="M62" s="3"/>
    </row>
    <row r="63" spans="1:13" x14ac:dyDescent="0.25">
      <c r="A63" s="1"/>
      <c r="B63" s="2"/>
      <c r="C63" s="2"/>
      <c r="D63" s="2"/>
      <c r="E63" s="2"/>
      <c r="F63" s="2"/>
      <c r="G63" s="2"/>
      <c r="H63" s="71" t="s">
        <v>116</v>
      </c>
      <c r="I63" s="72"/>
      <c r="J63" s="2" t="s">
        <v>117</v>
      </c>
      <c r="K63" s="73"/>
      <c r="L63" s="2"/>
      <c r="M63" s="3"/>
    </row>
    <row r="64" spans="1:13" x14ac:dyDescent="0.25">
      <c r="A64" s="1"/>
      <c r="B64" s="2"/>
      <c r="C64" s="2"/>
      <c r="D64" s="2"/>
      <c r="E64" s="2"/>
      <c r="F64" s="2"/>
      <c r="G64" s="2" t="s">
        <v>118</v>
      </c>
      <c r="H64" s="2"/>
      <c r="I64" s="75">
        <f>(I61*I62*I63)</f>
        <v>0</v>
      </c>
      <c r="J64" s="2" t="s">
        <v>119</v>
      </c>
      <c r="K64" s="76"/>
      <c r="L64" s="2"/>
      <c r="M64" s="3"/>
    </row>
    <row r="65" spans="1:13" ht="15.75" thickBot="1" x14ac:dyDescent="0.3">
      <c r="A65" s="54"/>
      <c r="B65" s="54"/>
      <c r="C65" s="54"/>
      <c r="D65" s="54"/>
      <c r="E65" s="54"/>
      <c r="F65" s="54"/>
      <c r="G65" s="54"/>
      <c r="H65" s="77"/>
      <c r="I65" s="54"/>
      <c r="J65" s="54"/>
      <c r="K65" s="54"/>
      <c r="L65" s="54"/>
      <c r="M65" s="3"/>
    </row>
    <row r="66" spans="1:13" ht="15.75" thickBot="1" x14ac:dyDescent="0.3">
      <c r="A66" s="54"/>
      <c r="B66" s="54"/>
      <c r="C66" s="54"/>
      <c r="D66" s="54"/>
      <c r="E66" s="54"/>
      <c r="F66" s="54"/>
      <c r="G66" s="54"/>
      <c r="H66" s="117" t="s">
        <v>120</v>
      </c>
      <c r="I66" s="117"/>
      <c r="J66" s="117" t="s">
        <v>121</v>
      </c>
      <c r="K66" s="117"/>
      <c r="L66" s="117"/>
      <c r="M66" s="3"/>
    </row>
    <row r="67" spans="1:13" ht="15.75" thickBot="1" x14ac:dyDescent="0.3">
      <c r="A67" s="2"/>
      <c r="B67" s="2"/>
      <c r="C67" s="78"/>
      <c r="D67" s="2"/>
      <c r="E67" s="2"/>
      <c r="F67" s="2"/>
      <c r="G67" s="2"/>
      <c r="H67" s="108" t="s">
        <v>122</v>
      </c>
      <c r="I67" s="109"/>
      <c r="J67" s="108" t="s">
        <v>123</v>
      </c>
      <c r="K67" s="110"/>
      <c r="L67" s="109"/>
      <c r="M67" s="3"/>
    </row>
    <row r="68" spans="1:13" ht="15.75" thickBot="1" x14ac:dyDescent="0.3">
      <c r="A68" s="54"/>
      <c r="B68" s="54"/>
      <c r="C68" s="79"/>
      <c r="D68" s="54"/>
      <c r="E68" s="54"/>
      <c r="F68" s="54"/>
      <c r="G68" s="54"/>
      <c r="H68" s="108" t="s">
        <v>124</v>
      </c>
      <c r="I68" s="109"/>
      <c r="J68" s="108" t="s">
        <v>125</v>
      </c>
      <c r="K68" s="110"/>
      <c r="L68" s="109"/>
      <c r="M68" s="3"/>
    </row>
    <row r="69" spans="1:13" x14ac:dyDescent="0.25">
      <c r="A69" s="54"/>
      <c r="B69" s="54"/>
      <c r="C69" s="54"/>
      <c r="D69" s="54"/>
      <c r="E69" s="54"/>
      <c r="F69" s="54"/>
      <c r="G69" s="54"/>
      <c r="H69" s="111"/>
      <c r="I69" s="111"/>
      <c r="J69" s="112"/>
      <c r="K69" s="112"/>
      <c r="L69" s="112"/>
      <c r="M69" s="3"/>
    </row>
    <row r="70" spans="1:13" x14ac:dyDescent="0.25">
      <c r="A70" s="54"/>
      <c r="B70" s="54"/>
      <c r="C70" s="54"/>
      <c r="D70" s="54"/>
      <c r="E70" s="54"/>
      <c r="F70" s="54"/>
      <c r="G70" s="54"/>
      <c r="H70" s="80" t="s">
        <v>126</v>
      </c>
      <c r="I70" s="68"/>
      <c r="J70" s="68"/>
      <c r="K70" s="68"/>
      <c r="L70" s="68"/>
      <c r="M70" s="3"/>
    </row>
    <row r="71" spans="1:13" x14ac:dyDescent="0.25">
      <c r="A71" s="54"/>
      <c r="B71" s="54"/>
      <c r="C71" s="54"/>
      <c r="D71" s="54"/>
      <c r="E71" s="54"/>
      <c r="F71" s="54"/>
      <c r="G71" s="54"/>
      <c r="H71" s="81"/>
      <c r="I71" s="68" t="s">
        <v>119</v>
      </c>
      <c r="J71" s="82">
        <f>IF(H71=0,0,H71*0.73756)</f>
        <v>0</v>
      </c>
      <c r="K71" s="2" t="s">
        <v>127</v>
      </c>
      <c r="L71" s="54"/>
      <c r="M71" s="3"/>
    </row>
    <row r="72" spans="1:13" x14ac:dyDescent="0.25">
      <c r="A72" s="54"/>
      <c r="B72" s="54"/>
      <c r="C72" s="54"/>
      <c r="D72" s="54"/>
      <c r="E72" s="54"/>
      <c r="F72" s="54"/>
      <c r="G72" s="54"/>
      <c r="H72" s="83">
        <f>IF(J72=0,0,J72*1.3556)</f>
        <v>0</v>
      </c>
      <c r="I72" s="68" t="s">
        <v>119</v>
      </c>
      <c r="J72" s="84"/>
      <c r="K72" s="2" t="s">
        <v>127</v>
      </c>
      <c r="L72" s="54"/>
      <c r="M72" s="3"/>
    </row>
    <row r="73" spans="1:13" x14ac:dyDescent="0.25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3"/>
    </row>
    <row r="74" spans="1:13" x14ac:dyDescent="0.25">
      <c r="A74" s="54"/>
      <c r="B74" s="54"/>
      <c r="C74" s="54"/>
      <c r="D74" s="54"/>
      <c r="E74" s="54"/>
      <c r="F74" s="54"/>
      <c r="G74" s="54"/>
      <c r="H74" s="85" t="s">
        <v>128</v>
      </c>
      <c r="I74" s="86"/>
      <c r="J74" s="86"/>
      <c r="K74" s="86"/>
      <c r="L74" s="54"/>
      <c r="M74" s="3"/>
    </row>
    <row r="75" spans="1:13" x14ac:dyDescent="0.25">
      <c r="A75" s="2"/>
      <c r="B75" s="2"/>
      <c r="C75" s="2"/>
      <c r="D75" s="2"/>
      <c r="E75" s="2"/>
      <c r="F75" s="2"/>
      <c r="G75" s="2"/>
      <c r="H75" s="72"/>
      <c r="I75" s="2" t="s">
        <v>129</v>
      </c>
      <c r="J75" s="87">
        <f>H75*0.45359237</f>
        <v>0</v>
      </c>
      <c r="K75" s="2" t="s">
        <v>130</v>
      </c>
      <c r="L75" s="2"/>
      <c r="M75" s="3"/>
    </row>
    <row r="76" spans="1:13" x14ac:dyDescent="0.25">
      <c r="A76" s="2"/>
      <c r="B76" s="2"/>
      <c r="C76" s="2"/>
      <c r="D76" s="2"/>
      <c r="E76" s="2"/>
      <c r="F76" s="2"/>
      <c r="G76" s="2"/>
      <c r="H76" s="87">
        <f>J76/0.45359237</f>
        <v>0</v>
      </c>
      <c r="I76" s="2" t="s">
        <v>129</v>
      </c>
      <c r="J76" s="72"/>
      <c r="K76" s="2" t="s">
        <v>130</v>
      </c>
      <c r="L76" s="2"/>
      <c r="M76" s="3"/>
    </row>
    <row r="77" spans="1:13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3"/>
    </row>
    <row r="78" spans="1:13" x14ac:dyDescent="0.25">
      <c r="A78" s="2"/>
      <c r="B78" s="118"/>
      <c r="C78" s="118"/>
      <c r="D78" s="2"/>
      <c r="E78" s="2"/>
      <c r="F78" s="2"/>
      <c r="G78" s="2"/>
      <c r="H78" s="2"/>
      <c r="I78" s="2"/>
      <c r="J78" s="2"/>
      <c r="K78" s="2"/>
      <c r="L78" s="2"/>
      <c r="M78" s="3"/>
    </row>
    <row r="79" spans="1:13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3"/>
    </row>
    <row r="80" spans="1:13" ht="15.75" thickBot="1" x14ac:dyDescent="0.3">
      <c r="A80" s="88"/>
      <c r="B80" s="88"/>
      <c r="C80" s="88"/>
      <c r="D80" s="88"/>
      <c r="E80" s="88"/>
      <c r="F80" s="88"/>
      <c r="G80" s="88"/>
      <c r="H80" s="88"/>
      <c r="I80" s="88"/>
      <c r="J80" s="88"/>
      <c r="K80" s="88"/>
      <c r="L80" s="88"/>
      <c r="M80" s="89" t="s">
        <v>279</v>
      </c>
    </row>
    <row r="81" ht="15.75" thickTop="1" x14ac:dyDescent="0.25"/>
    <row r="511" spans="2:3" x14ac:dyDescent="0.25">
      <c r="C511" s="90" t="s">
        <v>131</v>
      </c>
    </row>
    <row r="512" spans="2:3" x14ac:dyDescent="0.25">
      <c r="B512" s="90" t="s">
        <v>132</v>
      </c>
      <c r="C512" s="90" t="s">
        <v>133</v>
      </c>
    </row>
    <row r="513" spans="1:3" x14ac:dyDescent="0.25">
      <c r="A513" s="90">
        <v>1</v>
      </c>
      <c r="B513" s="90" t="s">
        <v>134</v>
      </c>
      <c r="C513" s="90" t="s">
        <v>135</v>
      </c>
    </row>
    <row r="514" spans="1:3" x14ac:dyDescent="0.25">
      <c r="A514" s="90">
        <v>2</v>
      </c>
      <c r="B514" s="90" t="s">
        <v>136</v>
      </c>
      <c r="C514" s="90" t="s">
        <v>137</v>
      </c>
    </row>
    <row r="515" spans="1:3" x14ac:dyDescent="0.25">
      <c r="A515" s="90">
        <v>3</v>
      </c>
      <c r="B515" s="90" t="s">
        <v>138</v>
      </c>
      <c r="C515" s="90" t="s">
        <v>139</v>
      </c>
    </row>
    <row r="516" spans="1:3" x14ac:dyDescent="0.25">
      <c r="A516" s="90">
        <v>4</v>
      </c>
      <c r="B516" s="90" t="s">
        <v>140</v>
      </c>
      <c r="C516" s="90" t="s">
        <v>141</v>
      </c>
    </row>
    <row r="517" spans="1:3" x14ac:dyDescent="0.25">
      <c r="B517" s="90" t="s">
        <v>142</v>
      </c>
      <c r="C517" s="90" t="s">
        <v>143</v>
      </c>
    </row>
    <row r="518" spans="1:3" ht="15.75" x14ac:dyDescent="0.25">
      <c r="B518" s="91" t="s">
        <v>144</v>
      </c>
      <c r="C518" s="90" t="s">
        <v>145</v>
      </c>
    </row>
    <row r="519" spans="1:3" ht="15.75" x14ac:dyDescent="0.25">
      <c r="B519" s="91" t="s">
        <v>146</v>
      </c>
      <c r="C519" s="90" t="s">
        <v>147</v>
      </c>
    </row>
    <row r="520" spans="1:3" x14ac:dyDescent="0.25">
      <c r="C520" s="90" t="s">
        <v>148</v>
      </c>
    </row>
    <row r="521" spans="1:3" x14ac:dyDescent="0.25">
      <c r="C521" s="90" t="s">
        <v>149</v>
      </c>
    </row>
    <row r="522" spans="1:3" x14ac:dyDescent="0.25">
      <c r="C522" s="90" t="s">
        <v>150</v>
      </c>
    </row>
    <row r="523" spans="1:3" x14ac:dyDescent="0.25">
      <c r="B523" s="90" t="s">
        <v>151</v>
      </c>
      <c r="C523" s="90" t="s">
        <v>152</v>
      </c>
    </row>
    <row r="524" spans="1:3" x14ac:dyDescent="0.25">
      <c r="B524" s="90" t="s">
        <v>153</v>
      </c>
      <c r="C524" s="90" t="s">
        <v>154</v>
      </c>
    </row>
    <row r="525" spans="1:3" x14ac:dyDescent="0.25">
      <c r="B525" s="90" t="s">
        <v>155</v>
      </c>
      <c r="C525" s="90" t="s">
        <v>156</v>
      </c>
    </row>
    <row r="526" spans="1:3" x14ac:dyDescent="0.25">
      <c r="B526" s="90" t="s">
        <v>157</v>
      </c>
      <c r="C526" s="90" t="s">
        <v>158</v>
      </c>
    </row>
    <row r="527" spans="1:3" x14ac:dyDescent="0.25">
      <c r="B527" s="90"/>
      <c r="C527" s="90" t="s">
        <v>159</v>
      </c>
    </row>
    <row r="528" spans="1:3" x14ac:dyDescent="0.25">
      <c r="C528" s="90" t="s">
        <v>160</v>
      </c>
    </row>
    <row r="529" spans="3:7" x14ac:dyDescent="0.25">
      <c r="C529" s="90" t="s">
        <v>161</v>
      </c>
    </row>
    <row r="530" spans="3:7" x14ac:dyDescent="0.25">
      <c r="C530" s="90" t="s">
        <v>162</v>
      </c>
    </row>
    <row r="532" spans="3:7" x14ac:dyDescent="0.25">
      <c r="C532" s="90" t="s">
        <v>131</v>
      </c>
    </row>
    <row r="533" spans="3:7" x14ac:dyDescent="0.25">
      <c r="C533" t="s">
        <v>163</v>
      </c>
      <c r="D533" t="s">
        <v>164</v>
      </c>
    </row>
    <row r="534" spans="3:7" ht="15" customHeight="1" x14ac:dyDescent="0.25">
      <c r="C534" t="s">
        <v>165</v>
      </c>
      <c r="D534" s="113" t="s">
        <v>166</v>
      </c>
      <c r="E534" s="113"/>
      <c r="F534" t="s">
        <v>167</v>
      </c>
      <c r="G534" t="s">
        <v>168</v>
      </c>
    </row>
    <row r="535" spans="3:7" x14ac:dyDescent="0.25">
      <c r="C535" t="s">
        <v>169</v>
      </c>
      <c r="D535" s="113"/>
      <c r="E535" s="113"/>
      <c r="F535" t="s">
        <v>170</v>
      </c>
      <c r="G535" t="s">
        <v>171</v>
      </c>
    </row>
    <row r="536" spans="3:7" x14ac:dyDescent="0.25">
      <c r="C536" s="92" t="s">
        <v>172</v>
      </c>
      <c r="D536" s="102" t="s">
        <v>173</v>
      </c>
      <c r="E536" s="102"/>
      <c r="F536" t="s">
        <v>174</v>
      </c>
      <c r="G536" t="s">
        <v>175</v>
      </c>
    </row>
    <row r="537" spans="3:7" x14ac:dyDescent="0.25">
      <c r="C537" s="92" t="s">
        <v>176</v>
      </c>
      <c r="D537" s="102" t="s">
        <v>177</v>
      </c>
      <c r="E537" s="102"/>
      <c r="F537" t="s">
        <v>178</v>
      </c>
      <c r="G537" t="s">
        <v>179</v>
      </c>
    </row>
    <row r="538" spans="3:7" x14ac:dyDescent="0.25">
      <c r="C538" s="92" t="s">
        <v>180</v>
      </c>
      <c r="F538" t="s">
        <v>181</v>
      </c>
      <c r="G538" t="s">
        <v>182</v>
      </c>
    </row>
    <row r="539" spans="3:7" x14ac:dyDescent="0.25">
      <c r="C539" s="92" t="s">
        <v>183</v>
      </c>
      <c r="F539" t="s">
        <v>184</v>
      </c>
      <c r="G539" t="s">
        <v>185</v>
      </c>
    </row>
    <row r="540" spans="3:7" x14ac:dyDescent="0.25">
      <c r="C540" s="92" t="s">
        <v>186</v>
      </c>
      <c r="D540" s="102" t="s">
        <v>173</v>
      </c>
      <c r="E540" s="102"/>
      <c r="F540" t="s">
        <v>187</v>
      </c>
      <c r="G540" t="s">
        <v>188</v>
      </c>
    </row>
    <row r="541" spans="3:7" x14ac:dyDescent="0.25">
      <c r="C541" s="92" t="s">
        <v>189</v>
      </c>
      <c r="F541" t="s">
        <v>190</v>
      </c>
      <c r="G541" t="s">
        <v>191</v>
      </c>
    </row>
    <row r="542" spans="3:7" x14ac:dyDescent="0.25">
      <c r="C542" s="92" t="s">
        <v>192</v>
      </c>
    </row>
    <row r="543" spans="3:7" x14ac:dyDescent="0.25">
      <c r="C543" s="92" t="s">
        <v>193</v>
      </c>
      <c r="F543" t="s">
        <v>194</v>
      </c>
    </row>
    <row r="544" spans="3:7" x14ac:dyDescent="0.25">
      <c r="C544" s="92" t="s">
        <v>195</v>
      </c>
      <c r="D544" s="102" t="s">
        <v>173</v>
      </c>
      <c r="E544" s="102"/>
      <c r="F544">
        <v>3000</v>
      </c>
      <c r="G544" t="s">
        <v>196</v>
      </c>
    </row>
    <row r="545" spans="3:7" x14ac:dyDescent="0.25">
      <c r="C545" s="92" t="s">
        <v>197</v>
      </c>
      <c r="D545" s="102" t="s">
        <v>177</v>
      </c>
      <c r="E545" s="102"/>
      <c r="F545">
        <v>3500</v>
      </c>
      <c r="G545" t="s">
        <v>198</v>
      </c>
    </row>
    <row r="546" spans="3:7" x14ac:dyDescent="0.25">
      <c r="C546" s="92" t="s">
        <v>199</v>
      </c>
      <c r="F546">
        <v>4000</v>
      </c>
      <c r="G546" t="s">
        <v>196</v>
      </c>
    </row>
    <row r="547" spans="3:7" x14ac:dyDescent="0.25">
      <c r="C547" s="92" t="s">
        <v>200</v>
      </c>
      <c r="F547">
        <v>4500</v>
      </c>
      <c r="G547" t="s">
        <v>198</v>
      </c>
    </row>
    <row r="548" spans="3:7" x14ac:dyDescent="0.25">
      <c r="C548" s="92" t="s">
        <v>201</v>
      </c>
      <c r="D548" s="102" t="s">
        <v>173</v>
      </c>
      <c r="E548" s="102"/>
      <c r="F548">
        <v>4700</v>
      </c>
      <c r="G548" t="s">
        <v>202</v>
      </c>
    </row>
    <row r="549" spans="3:7" x14ac:dyDescent="0.25">
      <c r="C549" s="92" t="s">
        <v>203</v>
      </c>
    </row>
    <row r="550" spans="3:7" x14ac:dyDescent="0.25">
      <c r="C550" s="92" t="s">
        <v>204</v>
      </c>
      <c r="D550" s="102" t="s">
        <v>173</v>
      </c>
      <c r="E550" s="102"/>
    </row>
    <row r="551" spans="3:7" x14ac:dyDescent="0.25">
      <c r="C551" s="92" t="s">
        <v>205</v>
      </c>
    </row>
    <row r="552" spans="3:7" x14ac:dyDescent="0.25">
      <c r="C552" s="92" t="s">
        <v>206</v>
      </c>
    </row>
    <row r="553" spans="3:7" x14ac:dyDescent="0.25">
      <c r="C553" t="s">
        <v>207</v>
      </c>
      <c r="D553" s="102" t="s">
        <v>173</v>
      </c>
      <c r="E553" s="102"/>
    </row>
    <row r="554" spans="3:7" x14ac:dyDescent="0.25">
      <c r="C554" t="s">
        <v>208</v>
      </c>
    </row>
    <row r="556" spans="3:7" x14ac:dyDescent="0.25">
      <c r="C556" t="s">
        <v>209</v>
      </c>
    </row>
    <row r="557" spans="3:7" x14ac:dyDescent="0.25">
      <c r="C557" t="s">
        <v>210</v>
      </c>
      <c r="E557" s="93">
        <v>0.6</v>
      </c>
    </row>
    <row r="558" spans="3:7" x14ac:dyDescent="0.25">
      <c r="C558" t="s">
        <v>211</v>
      </c>
      <c r="E558" s="93">
        <v>0.77</v>
      </c>
    </row>
    <row r="559" spans="3:7" x14ac:dyDescent="0.25">
      <c r="C559" t="s">
        <v>212</v>
      </c>
      <c r="E559" s="93">
        <v>0.93</v>
      </c>
    </row>
    <row r="560" spans="3:7" x14ac:dyDescent="0.25">
      <c r="C560" t="s">
        <v>213</v>
      </c>
      <c r="E560" s="93">
        <v>0.98</v>
      </c>
    </row>
    <row r="561" spans="3:5" x14ac:dyDescent="0.25">
      <c r="C561" t="s">
        <v>214</v>
      </c>
      <c r="E561" s="93">
        <v>1.06</v>
      </c>
    </row>
    <row r="562" spans="3:5" x14ac:dyDescent="0.25">
      <c r="C562" t="s">
        <v>215</v>
      </c>
      <c r="E562" s="93">
        <v>1.18</v>
      </c>
    </row>
    <row r="563" spans="3:5" x14ac:dyDescent="0.25">
      <c r="C563" t="s">
        <v>216</v>
      </c>
      <c r="E563" s="93">
        <v>1.3</v>
      </c>
    </row>
    <row r="564" spans="3:5" x14ac:dyDescent="0.25">
      <c r="C564" t="s">
        <v>217</v>
      </c>
      <c r="E564" s="93">
        <v>1.35</v>
      </c>
    </row>
    <row r="565" spans="3:5" x14ac:dyDescent="0.25">
      <c r="C565" t="s">
        <v>218</v>
      </c>
      <c r="E565" s="93">
        <v>1.65</v>
      </c>
    </row>
    <row r="566" spans="3:5" x14ac:dyDescent="0.25">
      <c r="C566" t="s">
        <v>219</v>
      </c>
      <c r="E566" s="93">
        <v>1.72</v>
      </c>
    </row>
    <row r="567" spans="3:5" x14ac:dyDescent="0.25">
      <c r="C567" t="s">
        <v>220</v>
      </c>
      <c r="E567" s="93">
        <v>2.1</v>
      </c>
    </row>
    <row r="568" spans="3:5" x14ac:dyDescent="0.25">
      <c r="C568" t="s">
        <v>221</v>
      </c>
      <c r="E568" s="93"/>
    </row>
    <row r="569" spans="3:5" x14ac:dyDescent="0.25">
      <c r="C569" t="s">
        <v>222</v>
      </c>
      <c r="E569" s="93"/>
    </row>
    <row r="570" spans="3:5" x14ac:dyDescent="0.25">
      <c r="C570" t="s">
        <v>223</v>
      </c>
    </row>
    <row r="571" spans="3:5" x14ac:dyDescent="0.25">
      <c r="C571" t="s">
        <v>224</v>
      </c>
    </row>
    <row r="572" spans="3:5" x14ac:dyDescent="0.25">
      <c r="C572" t="s">
        <v>225</v>
      </c>
    </row>
    <row r="573" spans="3:5" x14ac:dyDescent="0.25">
      <c r="C573" t="s">
        <v>226</v>
      </c>
    </row>
    <row r="574" spans="3:5" x14ac:dyDescent="0.25">
      <c r="C574" t="s">
        <v>227</v>
      </c>
    </row>
    <row r="575" spans="3:5" x14ac:dyDescent="0.25">
      <c r="C575" t="s">
        <v>228</v>
      </c>
    </row>
    <row r="576" spans="3:5" x14ac:dyDescent="0.25">
      <c r="C576" t="s">
        <v>229</v>
      </c>
    </row>
    <row r="577" spans="3:3" x14ac:dyDescent="0.25">
      <c r="C577" t="s">
        <v>230</v>
      </c>
    </row>
    <row r="578" spans="3:3" x14ac:dyDescent="0.25">
      <c r="C578" t="s">
        <v>231</v>
      </c>
    </row>
    <row r="579" spans="3:3" x14ac:dyDescent="0.25">
      <c r="C579" t="s">
        <v>232</v>
      </c>
    </row>
    <row r="580" spans="3:3" x14ac:dyDescent="0.25">
      <c r="C580" t="s">
        <v>233</v>
      </c>
    </row>
    <row r="581" spans="3:3" x14ac:dyDescent="0.25">
      <c r="C581" t="s">
        <v>234</v>
      </c>
    </row>
    <row r="582" spans="3:3" x14ac:dyDescent="0.25">
      <c r="C582" t="s">
        <v>235</v>
      </c>
    </row>
    <row r="583" spans="3:3" x14ac:dyDescent="0.25">
      <c r="C583" t="s">
        <v>236</v>
      </c>
    </row>
    <row r="584" spans="3:3" x14ac:dyDescent="0.25">
      <c r="C584" t="s">
        <v>237</v>
      </c>
    </row>
    <row r="585" spans="3:3" x14ac:dyDescent="0.25">
      <c r="C585" t="s">
        <v>238</v>
      </c>
    </row>
    <row r="586" spans="3:3" x14ac:dyDescent="0.25">
      <c r="C586" t="s">
        <v>239</v>
      </c>
    </row>
    <row r="587" spans="3:3" x14ac:dyDescent="0.25">
      <c r="C587" t="s">
        <v>240</v>
      </c>
    </row>
    <row r="588" spans="3:3" x14ac:dyDescent="0.25">
      <c r="C588" t="s">
        <v>241</v>
      </c>
    </row>
    <row r="589" spans="3:3" x14ac:dyDescent="0.25">
      <c r="C589" t="s">
        <v>242</v>
      </c>
    </row>
    <row r="590" spans="3:3" x14ac:dyDescent="0.25">
      <c r="C590" t="s">
        <v>243</v>
      </c>
    </row>
    <row r="591" spans="3:3" x14ac:dyDescent="0.25">
      <c r="C591" t="s">
        <v>244</v>
      </c>
    </row>
    <row r="592" spans="3:3" x14ac:dyDescent="0.25">
      <c r="C592" t="s">
        <v>245</v>
      </c>
    </row>
    <row r="593" spans="3:3" x14ac:dyDescent="0.25">
      <c r="C593" t="s">
        <v>246</v>
      </c>
    </row>
    <row r="594" spans="3:3" x14ac:dyDescent="0.25">
      <c r="C594" t="s">
        <v>247</v>
      </c>
    </row>
    <row r="595" spans="3:3" x14ac:dyDescent="0.25">
      <c r="C595" t="s">
        <v>248</v>
      </c>
    </row>
    <row r="596" spans="3:3" x14ac:dyDescent="0.25">
      <c r="C596" t="s">
        <v>249</v>
      </c>
    </row>
    <row r="597" spans="3:3" x14ac:dyDescent="0.25">
      <c r="C597" t="s">
        <v>250</v>
      </c>
    </row>
    <row r="599" spans="3:3" x14ac:dyDescent="0.25">
      <c r="C599" t="s">
        <v>251</v>
      </c>
    </row>
    <row r="600" spans="3:3" x14ac:dyDescent="0.25">
      <c r="C600" t="s">
        <v>252</v>
      </c>
    </row>
    <row r="601" spans="3:3" x14ac:dyDescent="0.25">
      <c r="C601" t="s">
        <v>253</v>
      </c>
    </row>
    <row r="602" spans="3:3" x14ac:dyDescent="0.25">
      <c r="C602" t="s">
        <v>254</v>
      </c>
    </row>
    <row r="603" spans="3:3" x14ac:dyDescent="0.25">
      <c r="C603" t="s">
        <v>255</v>
      </c>
    </row>
    <row r="604" spans="3:3" x14ac:dyDescent="0.25">
      <c r="C604" t="s">
        <v>256</v>
      </c>
    </row>
    <row r="605" spans="3:3" x14ac:dyDescent="0.25">
      <c r="C605" t="s">
        <v>257</v>
      </c>
    </row>
    <row r="606" spans="3:3" x14ac:dyDescent="0.25">
      <c r="C606" t="s">
        <v>258</v>
      </c>
    </row>
    <row r="607" spans="3:3" x14ac:dyDescent="0.25">
      <c r="C607" t="s">
        <v>259</v>
      </c>
    </row>
    <row r="608" spans="3:3" x14ac:dyDescent="0.25">
      <c r="C608" t="s">
        <v>260</v>
      </c>
    </row>
    <row r="609" spans="3:3" x14ac:dyDescent="0.25">
      <c r="C609" t="s">
        <v>261</v>
      </c>
    </row>
    <row r="610" spans="3:3" x14ac:dyDescent="0.25">
      <c r="C610" t="s">
        <v>262</v>
      </c>
    </row>
    <row r="611" spans="3:3" x14ac:dyDescent="0.25">
      <c r="C611" t="s">
        <v>263</v>
      </c>
    </row>
    <row r="612" spans="3:3" x14ac:dyDescent="0.25">
      <c r="C612" t="s">
        <v>264</v>
      </c>
    </row>
    <row r="613" spans="3:3" x14ac:dyDescent="0.25">
      <c r="C613" t="s">
        <v>265</v>
      </c>
    </row>
    <row r="614" spans="3:3" x14ac:dyDescent="0.25">
      <c r="C614" t="s">
        <v>266</v>
      </c>
    </row>
    <row r="615" spans="3:3" x14ac:dyDescent="0.25">
      <c r="C615" t="s">
        <v>267</v>
      </c>
    </row>
    <row r="616" spans="3:3" x14ac:dyDescent="0.25">
      <c r="C616" t="s">
        <v>268</v>
      </c>
    </row>
    <row r="617" spans="3:3" x14ac:dyDescent="0.25">
      <c r="C617" t="s">
        <v>269</v>
      </c>
    </row>
    <row r="618" spans="3:3" x14ac:dyDescent="0.25">
      <c r="C618" t="s">
        <v>270</v>
      </c>
    </row>
    <row r="619" spans="3:3" x14ac:dyDescent="0.25">
      <c r="C619" t="s">
        <v>274</v>
      </c>
    </row>
    <row r="620" spans="3:3" x14ac:dyDescent="0.25">
      <c r="C620" t="s">
        <v>275</v>
      </c>
    </row>
    <row r="621" spans="3:3" x14ac:dyDescent="0.25">
      <c r="C621" t="s">
        <v>271</v>
      </c>
    </row>
    <row r="622" spans="3:3" x14ac:dyDescent="0.25">
      <c r="C622" t="s">
        <v>272</v>
      </c>
    </row>
    <row r="623" spans="3:3" x14ac:dyDescent="0.25">
      <c r="C623" t="s">
        <v>273</v>
      </c>
    </row>
    <row r="1000" spans="26:26" x14ac:dyDescent="0.25">
      <c r="Z1000" t="s">
        <v>277</v>
      </c>
    </row>
  </sheetData>
  <sheetProtection password="AA2E" sheet="1" objects="1" scenarios="1" selectLockedCells="1"/>
  <mergeCells count="41">
    <mergeCell ref="F5:G5"/>
    <mergeCell ref="F6:G6"/>
    <mergeCell ref="F7:G7"/>
    <mergeCell ref="F8:H8"/>
    <mergeCell ref="F10:G10"/>
    <mergeCell ref="H67:I67"/>
    <mergeCell ref="J67:L67"/>
    <mergeCell ref="B78:C78"/>
    <mergeCell ref="C37:D37"/>
    <mergeCell ref="C22:E22"/>
    <mergeCell ref="H24:K24"/>
    <mergeCell ref="G25:J25"/>
    <mergeCell ref="G26:J26"/>
    <mergeCell ref="I27:J27"/>
    <mergeCell ref="H29:J29"/>
    <mergeCell ref="H30:J30"/>
    <mergeCell ref="H31:J31"/>
    <mergeCell ref="H32:J32"/>
    <mergeCell ref="H33:J33"/>
    <mergeCell ref="C36:D36"/>
    <mergeCell ref="C47:E47"/>
    <mergeCell ref="H56:K56"/>
    <mergeCell ref="G57:M57"/>
    <mergeCell ref="H66:I66"/>
    <mergeCell ref="J66:L66"/>
    <mergeCell ref="D553:E553"/>
    <mergeCell ref="A1:M1"/>
    <mergeCell ref="G51:H51"/>
    <mergeCell ref="G52:H52"/>
    <mergeCell ref="D537:E537"/>
    <mergeCell ref="D540:E540"/>
    <mergeCell ref="D544:E544"/>
    <mergeCell ref="D545:E545"/>
    <mergeCell ref="D548:E548"/>
    <mergeCell ref="D550:E550"/>
    <mergeCell ref="H68:I68"/>
    <mergeCell ref="J68:L68"/>
    <mergeCell ref="H69:I69"/>
    <mergeCell ref="J69:L69"/>
    <mergeCell ref="D534:E535"/>
    <mergeCell ref="D536:E536"/>
  </mergeCells>
  <dataValidations count="1">
    <dataValidation type="list" allowBlank="1" showInputMessage="1" showErrorMessage="1" sqref="E557:E567">
      <formula1>$E$556:$E$567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2</xdr:col>
                    <xdr:colOff>47625</xdr:colOff>
                    <xdr:row>11</xdr:row>
                    <xdr:rowOff>0</xdr:rowOff>
                  </from>
                  <to>
                    <xdr:col>2</xdr:col>
                    <xdr:colOff>609600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 altText="">
                <anchor moveWithCells="1">
                  <from>
                    <xdr:col>4</xdr:col>
                    <xdr:colOff>1019175</xdr:colOff>
                    <xdr:row>10</xdr:row>
                    <xdr:rowOff>171450</xdr:rowOff>
                  </from>
                  <to>
                    <xdr:col>5</xdr:col>
                    <xdr:colOff>114300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Drop Down 3">
              <controlPr defaultSize="0" autoLine="0" autoPict="0">
                <anchor moveWithCells="1">
                  <from>
                    <xdr:col>6</xdr:col>
                    <xdr:colOff>904875</xdr:colOff>
                    <xdr:row>11</xdr:row>
                    <xdr:rowOff>9525</xdr:rowOff>
                  </from>
                  <to>
                    <xdr:col>7</xdr:col>
                    <xdr:colOff>342900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Drop Down 4">
              <controlPr defaultSize="0" autoLine="0" autoPict="0">
                <anchor moveWithCells="1">
                  <from>
                    <xdr:col>2</xdr:col>
                    <xdr:colOff>57150</xdr:colOff>
                    <xdr:row>9</xdr:row>
                    <xdr:rowOff>238125</xdr:rowOff>
                  </from>
                  <to>
                    <xdr:col>2</xdr:col>
                    <xdr:colOff>495300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 altText="Yes">
                <anchor moveWithCells="1">
                  <from>
                    <xdr:col>2</xdr:col>
                    <xdr:colOff>9525</xdr:colOff>
                    <xdr:row>12</xdr:row>
                    <xdr:rowOff>38100</xdr:rowOff>
                  </from>
                  <to>
                    <xdr:col>2</xdr:col>
                    <xdr:colOff>314325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Check Box 6">
              <controlPr defaultSize="0" autoFill="0" autoLine="0" autoPict="0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5</xdr:col>
                    <xdr:colOff>304800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Check Box 7">
              <controlPr defaultSize="0" autoFill="0" autoLine="0" autoPict="0">
                <anchor moveWithCells="1">
                  <from>
                    <xdr:col>5</xdr:col>
                    <xdr:colOff>9525</xdr:colOff>
                    <xdr:row>13</xdr:row>
                    <xdr:rowOff>180975</xdr:rowOff>
                  </from>
                  <to>
                    <xdr:col>5</xdr:col>
                    <xdr:colOff>314325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>
                <anchor moveWithCells="1">
                  <from>
                    <xdr:col>5</xdr:col>
                    <xdr:colOff>9525</xdr:colOff>
                    <xdr:row>15</xdr:row>
                    <xdr:rowOff>180975</xdr:rowOff>
                  </from>
                  <to>
                    <xdr:col>5</xdr:col>
                    <xdr:colOff>314325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Check Box 9">
              <controlPr defaultSize="0" autoFill="0" autoLine="0" autoPict="0">
                <anchor moveWithCells="1">
                  <from>
                    <xdr:col>5</xdr:col>
                    <xdr:colOff>9525</xdr:colOff>
                    <xdr:row>14</xdr:row>
                    <xdr:rowOff>180975</xdr:rowOff>
                  </from>
                  <to>
                    <xdr:col>5</xdr:col>
                    <xdr:colOff>314325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Check Box 10">
              <controlPr defaultSize="0" autoFill="0" autoLine="0" autoPict="0">
                <anchor moveWithCells="1">
                  <from>
                    <xdr:col>7</xdr:col>
                    <xdr:colOff>9525</xdr:colOff>
                    <xdr:row>13</xdr:row>
                    <xdr:rowOff>0</xdr:rowOff>
                  </from>
                  <to>
                    <xdr:col>7</xdr:col>
                    <xdr:colOff>314325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Check Box 11">
              <controlPr defaultSize="0" autoFill="0" autoLine="0" autoPict="0">
                <anchor moveWithCells="1">
                  <from>
                    <xdr:col>7</xdr:col>
                    <xdr:colOff>9525</xdr:colOff>
                    <xdr:row>13</xdr:row>
                    <xdr:rowOff>171450</xdr:rowOff>
                  </from>
                  <to>
                    <xdr:col>7</xdr:col>
                    <xdr:colOff>314325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Check Box 1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9525</xdr:rowOff>
                  </from>
                  <to>
                    <xdr:col>7</xdr:col>
                    <xdr:colOff>314325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Drop Down 13">
              <controlPr defaultSize="0" autoLine="0" autoPict="0">
                <anchor moveWithCells="1">
                  <from>
                    <xdr:col>2</xdr:col>
                    <xdr:colOff>0</xdr:colOff>
                    <xdr:row>8</xdr:row>
                    <xdr:rowOff>9525</xdr:rowOff>
                  </from>
                  <to>
                    <xdr:col>3</xdr:col>
                    <xdr:colOff>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Check Box 14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7</xdr:col>
                    <xdr:colOff>314325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Check Box 15">
              <controlPr defaultSize="0" autoFill="0" autoLine="0" autoPict="0">
                <anchor moveWithCells="1">
                  <from>
                    <xdr:col>5</xdr:col>
                    <xdr:colOff>9525</xdr:colOff>
                    <xdr:row>17</xdr:row>
                    <xdr:rowOff>9525</xdr:rowOff>
                  </from>
                  <to>
                    <xdr:col>5</xdr:col>
                    <xdr:colOff>314325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Check Box 16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9525</xdr:rowOff>
                  </from>
                  <to>
                    <xdr:col>7</xdr:col>
                    <xdr:colOff>314325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Check Box 17">
              <controlPr defaultSize="0" autoFill="0" autoLine="0" autoPict="0">
                <anchor moveWithCells="1">
                  <from>
                    <xdr:col>5</xdr:col>
                    <xdr:colOff>9525</xdr:colOff>
                    <xdr:row>18</xdr:row>
                    <xdr:rowOff>9525</xdr:rowOff>
                  </from>
                  <to>
                    <xdr:col>5</xdr:col>
                    <xdr:colOff>314325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Drop Down 18">
              <controlPr defaultSize="0" autoLine="0" autoPict="0">
                <anchor moveWithCells="1">
                  <from>
                    <xdr:col>1</xdr:col>
                    <xdr:colOff>1619250</xdr:colOff>
                    <xdr:row>5</xdr:row>
                    <xdr:rowOff>200025</xdr:rowOff>
                  </from>
                  <to>
                    <xdr:col>3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2" name="Drop Down 22">
              <controlPr defaultSize="0" autoLine="0" autoPict="0">
                <anchor moveWithCells="1">
                  <from>
                    <xdr:col>6</xdr:col>
                    <xdr:colOff>485775</xdr:colOff>
                    <xdr:row>51</xdr:row>
                    <xdr:rowOff>0</xdr:rowOff>
                  </from>
                  <to>
                    <xdr:col>7</xdr:col>
                    <xdr:colOff>85725</xdr:colOff>
                    <xdr:row>52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A1F166A581EF24B89389CB42719BAB0" ma:contentTypeVersion="27" ma:contentTypeDescription="Create a new document." ma:contentTypeScope="" ma:versionID="a82f2f1c64d1d63545eb9d4a247617f5">
  <xsd:schema xmlns:xsd="http://www.w3.org/2001/XMLSchema" xmlns:xs="http://www.w3.org/2001/XMLSchema" xmlns:p="http://schemas.microsoft.com/office/2006/metadata/properties" xmlns:ns2="5eb53846-449d-48bc-826b-444aec9ac395" xmlns:ns3="b1df5119-9614-4126-8064-ab9bd8cef865" targetNamespace="http://schemas.microsoft.com/office/2006/metadata/properties" ma:root="true" ma:fieldsID="a86c62a91510762b57a44ac1039247ee" ns2:_="" ns3:_="">
    <xsd:import namespace="5eb53846-449d-48bc-826b-444aec9ac395"/>
    <xsd:import namespace="b1df5119-9614-4126-8064-ab9bd8cef86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Status" minOccurs="0"/>
                <xsd:element ref="ns2:LastPublished" minOccurs="0"/>
                <xsd:element ref="ns2:MediaServiceSearchProperties" minOccurs="0"/>
                <xsd:element ref="ns2:MediaServiceObjectDetectorVersions" minOccurs="0"/>
                <xsd:element ref="ns2:PageType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b53846-449d-48bc-826b-444aec9ac39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4b1daa41-56b4-4620-81a0-b7316f7f93e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Status" ma:index="22" nillable="true" ma:displayName="Status" ma:format="Dropdown" ma:internalName="Status">
      <xsd:simpleType>
        <xsd:restriction base="dms:Choice">
          <xsd:enumeration value="Draft"/>
          <xsd:enumeration value="Ready To Publish"/>
          <xsd:enumeration value="Blocked"/>
        </xsd:restriction>
      </xsd:simpleType>
    </xsd:element>
    <xsd:element name="LastPublished" ma:index="23" nillable="true" ma:displayName="Last Published" ma:format="DateTime" ma:internalName="LastPublished">
      <xsd:simpleType>
        <xsd:restriction base="dms:DateTime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PageType" ma:index="26" nillable="true" ma:displayName="Page Type" ma:format="Dropdown" ma:internalName="PageType">
      <xsd:simpleType>
        <xsd:restriction base="dms:Text">
          <xsd:maxLength value="255"/>
        </xsd:restriction>
      </xsd:simpleType>
    </xsd:element>
    <xsd:element name="MediaServiceLocation" ma:index="27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df5119-9614-4126-8064-ab9bd8cef865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c9835a05-651c-47a2-a627-aef6a75d36b5}" ma:internalName="TaxCatchAll" ma:showField="CatchAllData" ma:web="b1df5119-9614-4126-8064-ab9bd8cef8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5eb53846-449d-48bc-826b-444aec9ac395">
      <Terms xmlns="http://schemas.microsoft.com/office/infopath/2007/PartnerControls"/>
    </lcf76f155ced4ddcb4097134ff3c332f>
    <Status xmlns="5eb53846-449d-48bc-826b-444aec9ac395" xsi:nil="true"/>
    <TaxCatchAll xmlns="b1df5119-9614-4126-8064-ab9bd8cef865" xsi:nil="true"/>
    <LastPublished xmlns="5eb53846-449d-48bc-826b-444aec9ac395" xsi:nil="true"/>
    <PageType xmlns="5eb53846-449d-48bc-826b-444aec9ac395" xsi:nil="true"/>
  </documentManagement>
</p:properties>
</file>

<file path=customXml/itemProps1.xml><?xml version="1.0" encoding="utf-8"?>
<ds:datastoreItem xmlns:ds="http://schemas.openxmlformats.org/officeDocument/2006/customXml" ds:itemID="{82094541-2B7B-4B30-A71A-57A9B6DF5E9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D199245-5493-4F78-9B6D-D02A723495E1}"/>
</file>

<file path=customXml/itemProps3.xml><?xml version="1.0" encoding="utf-8"?>
<ds:datastoreItem xmlns:ds="http://schemas.openxmlformats.org/officeDocument/2006/customXml" ds:itemID="{DEC8B029-4742-4F08-8CA8-8538847611AF}">
  <ds:schemaRefs>
    <ds:schemaRef ds:uri="http://schemas.microsoft.com/office/2006/metadata/properties"/>
    <ds:schemaRef ds:uri="http://purl.org/dc/terms/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Volvo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Misc PTO Calculations</dc:title>
  <dc:creator>Troupe David</dc:creator>
  <cp:keywords>PTO, Bending Moment</cp:keywords>
  <cp:lastModifiedBy>Smith Bruce (j)</cp:lastModifiedBy>
  <dcterms:created xsi:type="dcterms:W3CDTF">2017-01-04T18:49:55Z</dcterms:created>
  <dcterms:modified xsi:type="dcterms:W3CDTF">2017-07-13T10:07:44Z</dcterms:modified>
  <cp:category>PTO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0x010100CA1F166A581EF24B89389CB42719BAB0</vt:lpwstr>
  </property>
</Properties>
</file>